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000 shift shirin\1403\"/>
    </mc:Choice>
  </mc:AlternateContent>
  <xr:revisionPtr revIDLastSave="0" documentId="13_ncr:1_{AEA55C15-A590-44C0-B2F5-561A5D94AC6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اسفند 402" sheetId="2" r:id="rId1"/>
    <sheet name="خروجی" sheetId="4" r:id="rId2"/>
  </sheets>
  <definedNames>
    <definedName name="_xlnm.Print_Area" localSheetId="1">خروجی!$B$1:$BP$74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4" l="1"/>
  <c r="F36" i="4"/>
  <c r="H36" i="4"/>
  <c r="J36" i="4"/>
  <c r="L36" i="4"/>
  <c r="N36" i="4"/>
  <c r="P36" i="4"/>
  <c r="R36" i="4"/>
  <c r="T36" i="4"/>
  <c r="V36" i="4"/>
  <c r="X36" i="4"/>
  <c r="Z36" i="4"/>
  <c r="AB36" i="4"/>
  <c r="AD36" i="4"/>
  <c r="AF36" i="4"/>
  <c r="AH36" i="4"/>
  <c r="AJ36" i="4"/>
  <c r="AL36" i="4"/>
  <c r="AN36" i="4"/>
  <c r="AP36" i="4"/>
  <c r="AR36" i="4"/>
  <c r="AT36" i="4"/>
  <c r="AV36" i="4"/>
  <c r="AX36" i="4"/>
  <c r="AZ36" i="4"/>
  <c r="BB36" i="4"/>
  <c r="BD36" i="4"/>
  <c r="BF36" i="4"/>
  <c r="BH36" i="4"/>
  <c r="BJ36" i="4"/>
  <c r="BL36" i="4"/>
  <c r="BN36" i="4"/>
  <c r="F9" i="4"/>
  <c r="H9" i="4"/>
  <c r="J9" i="4"/>
  <c r="L9" i="4"/>
  <c r="N9" i="4"/>
  <c r="P9" i="4"/>
  <c r="R9" i="4"/>
  <c r="T9" i="4"/>
  <c r="V9" i="4"/>
  <c r="X9" i="4"/>
  <c r="Z9" i="4"/>
  <c r="AB9" i="4"/>
  <c r="AD9" i="4"/>
  <c r="AF9" i="4"/>
  <c r="AH9" i="4"/>
  <c r="AJ9" i="4"/>
  <c r="AL9" i="4"/>
  <c r="AN9" i="4"/>
  <c r="AP9" i="4"/>
  <c r="AR9" i="4"/>
  <c r="AT9" i="4"/>
  <c r="AV9" i="4"/>
  <c r="AX9" i="4"/>
  <c r="AZ9" i="4"/>
  <c r="BB9" i="4"/>
  <c r="BD9" i="4"/>
  <c r="BF9" i="4"/>
  <c r="BH9" i="4"/>
  <c r="BJ9" i="4"/>
  <c r="BL9" i="4"/>
  <c r="BN9" i="4"/>
  <c r="F12" i="4"/>
  <c r="H12" i="4"/>
  <c r="J12" i="4"/>
  <c r="L12" i="4"/>
  <c r="N12" i="4"/>
  <c r="P12" i="4"/>
  <c r="R12" i="4"/>
  <c r="T12" i="4"/>
  <c r="V12" i="4"/>
  <c r="X12" i="4"/>
  <c r="Z12" i="4"/>
  <c r="AB12" i="4"/>
  <c r="AD12" i="4"/>
  <c r="AF12" i="4"/>
  <c r="AH12" i="4"/>
  <c r="AJ12" i="4"/>
  <c r="AL12" i="4"/>
  <c r="AN12" i="4"/>
  <c r="AP12" i="4"/>
  <c r="AR12" i="4"/>
  <c r="AT12" i="4"/>
  <c r="AV12" i="4"/>
  <c r="AX12" i="4"/>
  <c r="AZ12" i="4"/>
  <c r="BB12" i="4"/>
  <c r="BD12" i="4"/>
  <c r="BF12" i="4"/>
  <c r="BH12" i="4"/>
  <c r="BJ12" i="4"/>
  <c r="BL12" i="4"/>
  <c r="BN12" i="4"/>
  <c r="F15" i="4"/>
  <c r="H15" i="4"/>
  <c r="J15" i="4"/>
  <c r="L15" i="4"/>
  <c r="N15" i="4"/>
  <c r="P15" i="4"/>
  <c r="R15" i="4"/>
  <c r="T15" i="4"/>
  <c r="V15" i="4"/>
  <c r="X15" i="4"/>
  <c r="Z15" i="4"/>
  <c r="AB15" i="4"/>
  <c r="AD15" i="4"/>
  <c r="AF15" i="4"/>
  <c r="AH15" i="4"/>
  <c r="AJ15" i="4"/>
  <c r="AL15" i="4"/>
  <c r="AN15" i="4"/>
  <c r="AP15" i="4"/>
  <c r="AR15" i="4"/>
  <c r="AT15" i="4"/>
  <c r="AV15" i="4"/>
  <c r="AX15" i="4"/>
  <c r="AZ15" i="4"/>
  <c r="BB15" i="4"/>
  <c r="BD15" i="4"/>
  <c r="BF15" i="4"/>
  <c r="BH15" i="4"/>
  <c r="BJ15" i="4"/>
  <c r="BL15" i="4"/>
  <c r="BN15" i="4"/>
  <c r="F18" i="4"/>
  <c r="H18" i="4"/>
  <c r="J18" i="4"/>
  <c r="L18" i="4"/>
  <c r="N18" i="4"/>
  <c r="P18" i="4"/>
  <c r="R18" i="4"/>
  <c r="T18" i="4"/>
  <c r="V18" i="4"/>
  <c r="X18" i="4"/>
  <c r="Z18" i="4"/>
  <c r="AB18" i="4"/>
  <c r="AD18" i="4"/>
  <c r="AF18" i="4"/>
  <c r="AH18" i="4"/>
  <c r="AJ18" i="4"/>
  <c r="AL18" i="4"/>
  <c r="AN18" i="4"/>
  <c r="AP18" i="4"/>
  <c r="AR18" i="4"/>
  <c r="AT18" i="4"/>
  <c r="AV18" i="4"/>
  <c r="AX18" i="4"/>
  <c r="AZ18" i="4"/>
  <c r="BB18" i="4"/>
  <c r="BD18" i="4"/>
  <c r="BF18" i="4"/>
  <c r="BH18" i="4"/>
  <c r="BJ18" i="4"/>
  <c r="BL18" i="4"/>
  <c r="BN18" i="4"/>
  <c r="F21" i="4"/>
  <c r="H21" i="4"/>
  <c r="J21" i="4"/>
  <c r="L21" i="4"/>
  <c r="N21" i="4"/>
  <c r="P21" i="4"/>
  <c r="R21" i="4"/>
  <c r="T21" i="4"/>
  <c r="V21" i="4"/>
  <c r="X21" i="4"/>
  <c r="Z21" i="4"/>
  <c r="AB21" i="4"/>
  <c r="AD21" i="4"/>
  <c r="AF21" i="4"/>
  <c r="AH21" i="4"/>
  <c r="AJ21" i="4"/>
  <c r="AL21" i="4"/>
  <c r="AN21" i="4"/>
  <c r="AP21" i="4"/>
  <c r="AR21" i="4"/>
  <c r="AT21" i="4"/>
  <c r="AV21" i="4"/>
  <c r="AX21" i="4"/>
  <c r="AZ21" i="4"/>
  <c r="BB21" i="4"/>
  <c r="BD21" i="4"/>
  <c r="BF21" i="4"/>
  <c r="BH21" i="4"/>
  <c r="BJ21" i="4"/>
  <c r="BL21" i="4"/>
  <c r="BN21" i="4"/>
  <c r="F24" i="4"/>
  <c r="H24" i="4"/>
  <c r="J24" i="4"/>
  <c r="L24" i="4"/>
  <c r="N24" i="4"/>
  <c r="P24" i="4"/>
  <c r="R24" i="4"/>
  <c r="T24" i="4"/>
  <c r="V24" i="4"/>
  <c r="X24" i="4"/>
  <c r="Z24" i="4"/>
  <c r="AB24" i="4"/>
  <c r="AD24" i="4"/>
  <c r="AF24" i="4"/>
  <c r="AH24" i="4"/>
  <c r="AJ24" i="4"/>
  <c r="AL24" i="4"/>
  <c r="AN24" i="4"/>
  <c r="AP24" i="4"/>
  <c r="AR24" i="4"/>
  <c r="AT24" i="4"/>
  <c r="AV24" i="4"/>
  <c r="AX24" i="4"/>
  <c r="AZ24" i="4"/>
  <c r="BB24" i="4"/>
  <c r="BD24" i="4"/>
  <c r="BF24" i="4"/>
  <c r="BH24" i="4"/>
  <c r="BJ24" i="4"/>
  <c r="BL24" i="4"/>
  <c r="BN24" i="4"/>
  <c r="F27" i="4"/>
  <c r="H27" i="4"/>
  <c r="J27" i="4"/>
  <c r="L27" i="4"/>
  <c r="N27" i="4"/>
  <c r="P27" i="4"/>
  <c r="R27" i="4"/>
  <c r="T27" i="4"/>
  <c r="V27" i="4"/>
  <c r="X27" i="4"/>
  <c r="Z27" i="4"/>
  <c r="AB27" i="4"/>
  <c r="AD27" i="4"/>
  <c r="AF27" i="4"/>
  <c r="AH27" i="4"/>
  <c r="AJ27" i="4"/>
  <c r="AL27" i="4"/>
  <c r="AN27" i="4"/>
  <c r="AP27" i="4"/>
  <c r="AR27" i="4"/>
  <c r="AT27" i="4"/>
  <c r="AV27" i="4"/>
  <c r="AX27" i="4"/>
  <c r="AZ27" i="4"/>
  <c r="BB27" i="4"/>
  <c r="BD27" i="4"/>
  <c r="BF27" i="4"/>
  <c r="BH27" i="4"/>
  <c r="BJ27" i="4"/>
  <c r="BL27" i="4"/>
  <c r="BN27" i="4"/>
  <c r="F30" i="4"/>
  <c r="H30" i="4"/>
  <c r="J30" i="4"/>
  <c r="L30" i="4"/>
  <c r="N30" i="4"/>
  <c r="P30" i="4"/>
  <c r="R30" i="4"/>
  <c r="T30" i="4"/>
  <c r="V30" i="4"/>
  <c r="X30" i="4"/>
  <c r="Z30" i="4"/>
  <c r="AB30" i="4"/>
  <c r="AD30" i="4"/>
  <c r="AF30" i="4"/>
  <c r="AH30" i="4"/>
  <c r="AJ30" i="4"/>
  <c r="AL30" i="4"/>
  <c r="AN30" i="4"/>
  <c r="AP30" i="4"/>
  <c r="AR30" i="4"/>
  <c r="AT30" i="4"/>
  <c r="AV30" i="4"/>
  <c r="AX30" i="4"/>
  <c r="AZ30" i="4"/>
  <c r="BB30" i="4"/>
  <c r="BD30" i="4"/>
  <c r="BF30" i="4"/>
  <c r="BH30" i="4"/>
  <c r="BJ30" i="4"/>
  <c r="BL30" i="4"/>
  <c r="BN30" i="4"/>
  <c r="F33" i="4"/>
  <c r="H33" i="4"/>
  <c r="J33" i="4"/>
  <c r="L33" i="4"/>
  <c r="N33" i="4"/>
  <c r="P33" i="4"/>
  <c r="R33" i="4"/>
  <c r="T33" i="4"/>
  <c r="V33" i="4"/>
  <c r="X33" i="4"/>
  <c r="Z33" i="4"/>
  <c r="AB33" i="4"/>
  <c r="AD33" i="4"/>
  <c r="AF33" i="4"/>
  <c r="AH33" i="4"/>
  <c r="AJ33" i="4"/>
  <c r="AL33" i="4"/>
  <c r="AN33" i="4"/>
  <c r="AP33" i="4"/>
  <c r="AR33" i="4"/>
  <c r="AT33" i="4"/>
  <c r="AV33" i="4"/>
  <c r="AX33" i="4"/>
  <c r="AZ33" i="4"/>
  <c r="BB33" i="4"/>
  <c r="BD33" i="4"/>
  <c r="BF33" i="4"/>
  <c r="BH33" i="4"/>
  <c r="BJ33" i="4"/>
  <c r="BL33" i="4"/>
  <c r="BN33" i="4"/>
  <c r="F39" i="4"/>
  <c r="H39" i="4"/>
  <c r="J39" i="4"/>
  <c r="L39" i="4"/>
  <c r="N39" i="4"/>
  <c r="P39" i="4"/>
  <c r="R39" i="4"/>
  <c r="T39" i="4"/>
  <c r="V39" i="4"/>
  <c r="X39" i="4"/>
  <c r="Z39" i="4"/>
  <c r="AB39" i="4"/>
  <c r="AD39" i="4"/>
  <c r="AF39" i="4"/>
  <c r="AH39" i="4"/>
  <c r="AJ39" i="4"/>
  <c r="AL39" i="4"/>
  <c r="AN39" i="4"/>
  <c r="AP39" i="4"/>
  <c r="AR39" i="4"/>
  <c r="AT39" i="4"/>
  <c r="AV39" i="4"/>
  <c r="AX39" i="4"/>
  <c r="AZ39" i="4"/>
  <c r="BB39" i="4"/>
  <c r="BD39" i="4"/>
  <c r="BF39" i="4"/>
  <c r="BH39" i="4"/>
  <c r="BJ39" i="4"/>
  <c r="BL39" i="4"/>
  <c r="BN39" i="4"/>
  <c r="F42" i="4"/>
  <c r="H42" i="4"/>
  <c r="J42" i="4"/>
  <c r="L42" i="4"/>
  <c r="N42" i="4"/>
  <c r="P42" i="4"/>
  <c r="R42" i="4"/>
  <c r="T42" i="4"/>
  <c r="V42" i="4"/>
  <c r="X42" i="4"/>
  <c r="Z42" i="4"/>
  <c r="AB42" i="4"/>
  <c r="AD42" i="4"/>
  <c r="AF42" i="4"/>
  <c r="AH42" i="4"/>
  <c r="AJ42" i="4"/>
  <c r="AL42" i="4"/>
  <c r="AN42" i="4"/>
  <c r="AP42" i="4"/>
  <c r="AR42" i="4"/>
  <c r="AT42" i="4"/>
  <c r="AV42" i="4"/>
  <c r="AX42" i="4"/>
  <c r="AZ42" i="4"/>
  <c r="BB42" i="4"/>
  <c r="BD42" i="4"/>
  <c r="BF42" i="4"/>
  <c r="BH42" i="4"/>
  <c r="BJ42" i="4"/>
  <c r="BL42" i="4"/>
  <c r="BN42" i="4"/>
  <c r="F45" i="4"/>
  <c r="H45" i="4"/>
  <c r="J45" i="4"/>
  <c r="L45" i="4"/>
  <c r="N45" i="4"/>
  <c r="P45" i="4"/>
  <c r="R45" i="4"/>
  <c r="T45" i="4"/>
  <c r="V45" i="4"/>
  <c r="X45" i="4"/>
  <c r="Z45" i="4"/>
  <c r="AB45" i="4"/>
  <c r="AD45" i="4"/>
  <c r="AF45" i="4"/>
  <c r="AH45" i="4"/>
  <c r="AJ45" i="4"/>
  <c r="AL45" i="4"/>
  <c r="AN45" i="4"/>
  <c r="AP45" i="4"/>
  <c r="AR45" i="4"/>
  <c r="AT45" i="4"/>
  <c r="AV45" i="4"/>
  <c r="AX45" i="4"/>
  <c r="AZ45" i="4"/>
  <c r="BB45" i="4"/>
  <c r="BD45" i="4"/>
  <c r="BF45" i="4"/>
  <c r="BH45" i="4"/>
  <c r="BJ45" i="4"/>
  <c r="BL45" i="4"/>
  <c r="BN45" i="4"/>
  <c r="F48" i="4"/>
  <c r="H48" i="4"/>
  <c r="J48" i="4"/>
  <c r="L48" i="4"/>
  <c r="N48" i="4"/>
  <c r="P48" i="4"/>
  <c r="R48" i="4"/>
  <c r="T48" i="4"/>
  <c r="V48" i="4"/>
  <c r="X48" i="4"/>
  <c r="Z48" i="4"/>
  <c r="AB48" i="4"/>
  <c r="AD48" i="4"/>
  <c r="AF48" i="4"/>
  <c r="AH48" i="4"/>
  <c r="AJ48" i="4"/>
  <c r="AL48" i="4"/>
  <c r="AN48" i="4"/>
  <c r="AP48" i="4"/>
  <c r="AR48" i="4"/>
  <c r="AT48" i="4"/>
  <c r="AV48" i="4"/>
  <c r="AX48" i="4"/>
  <c r="AZ48" i="4"/>
  <c r="BB48" i="4"/>
  <c r="BD48" i="4"/>
  <c r="BF48" i="4"/>
  <c r="BH48" i="4"/>
  <c r="BJ48" i="4"/>
  <c r="BL48" i="4"/>
  <c r="BN48" i="4"/>
  <c r="F51" i="4"/>
  <c r="H51" i="4"/>
  <c r="J51" i="4"/>
  <c r="L51" i="4"/>
  <c r="N51" i="4"/>
  <c r="P51" i="4"/>
  <c r="R51" i="4"/>
  <c r="T51" i="4"/>
  <c r="V51" i="4"/>
  <c r="X51" i="4"/>
  <c r="Z51" i="4"/>
  <c r="AB51" i="4"/>
  <c r="AD51" i="4"/>
  <c r="AF51" i="4"/>
  <c r="AH51" i="4"/>
  <c r="AJ51" i="4"/>
  <c r="AL51" i="4"/>
  <c r="AN51" i="4"/>
  <c r="AP51" i="4"/>
  <c r="AR51" i="4"/>
  <c r="AT51" i="4"/>
  <c r="AV51" i="4"/>
  <c r="AX51" i="4"/>
  <c r="AZ51" i="4"/>
  <c r="BB51" i="4"/>
  <c r="BD51" i="4"/>
  <c r="BF51" i="4"/>
  <c r="BH51" i="4"/>
  <c r="BJ51" i="4"/>
  <c r="BL51" i="4"/>
  <c r="BN51" i="4"/>
  <c r="F54" i="4"/>
  <c r="H54" i="4"/>
  <c r="J54" i="4"/>
  <c r="L54" i="4"/>
  <c r="N54" i="4"/>
  <c r="P54" i="4"/>
  <c r="R54" i="4"/>
  <c r="T54" i="4"/>
  <c r="V54" i="4"/>
  <c r="X54" i="4"/>
  <c r="Z54" i="4"/>
  <c r="AB54" i="4"/>
  <c r="AD54" i="4"/>
  <c r="AF54" i="4"/>
  <c r="AH54" i="4"/>
  <c r="AJ54" i="4"/>
  <c r="AL54" i="4"/>
  <c r="AN54" i="4"/>
  <c r="AP54" i="4"/>
  <c r="AR54" i="4"/>
  <c r="AT54" i="4"/>
  <c r="AV54" i="4"/>
  <c r="AX54" i="4"/>
  <c r="AZ54" i="4"/>
  <c r="BB54" i="4"/>
  <c r="BD54" i="4"/>
  <c r="BF54" i="4"/>
  <c r="BH54" i="4"/>
  <c r="BJ54" i="4"/>
  <c r="BL54" i="4"/>
  <c r="BN54" i="4"/>
  <c r="F57" i="4"/>
  <c r="H57" i="4"/>
  <c r="J57" i="4"/>
  <c r="L57" i="4"/>
  <c r="N57" i="4"/>
  <c r="P57" i="4"/>
  <c r="R57" i="4"/>
  <c r="T57" i="4"/>
  <c r="V57" i="4"/>
  <c r="X57" i="4"/>
  <c r="Z57" i="4"/>
  <c r="AB57" i="4"/>
  <c r="AD57" i="4"/>
  <c r="AF57" i="4"/>
  <c r="AH57" i="4"/>
  <c r="AJ57" i="4"/>
  <c r="AL57" i="4"/>
  <c r="AN57" i="4"/>
  <c r="AP57" i="4"/>
  <c r="AR57" i="4"/>
  <c r="AT57" i="4"/>
  <c r="AV57" i="4"/>
  <c r="AX57" i="4"/>
  <c r="AZ57" i="4"/>
  <c r="BB57" i="4"/>
  <c r="BD57" i="4"/>
  <c r="BF57" i="4"/>
  <c r="BH57" i="4"/>
  <c r="BJ57" i="4"/>
  <c r="BL57" i="4"/>
  <c r="BN57" i="4"/>
  <c r="F60" i="4"/>
  <c r="H60" i="4"/>
  <c r="J60" i="4"/>
  <c r="L60" i="4"/>
  <c r="N60" i="4"/>
  <c r="P60" i="4"/>
  <c r="R60" i="4"/>
  <c r="T60" i="4"/>
  <c r="V60" i="4"/>
  <c r="X60" i="4"/>
  <c r="Z60" i="4"/>
  <c r="AB60" i="4"/>
  <c r="AD60" i="4"/>
  <c r="AF60" i="4"/>
  <c r="AH60" i="4"/>
  <c r="AJ60" i="4"/>
  <c r="AL60" i="4"/>
  <c r="AN60" i="4"/>
  <c r="AP60" i="4"/>
  <c r="AR60" i="4"/>
  <c r="AT60" i="4"/>
  <c r="AV60" i="4"/>
  <c r="AX60" i="4"/>
  <c r="AZ60" i="4"/>
  <c r="BB60" i="4"/>
  <c r="BD60" i="4"/>
  <c r="BF60" i="4"/>
  <c r="BH60" i="4"/>
  <c r="BJ60" i="4"/>
  <c r="BL60" i="4"/>
  <c r="BN60" i="4"/>
  <c r="F63" i="4"/>
  <c r="H63" i="4"/>
  <c r="J63" i="4"/>
  <c r="L63" i="4"/>
  <c r="N63" i="4"/>
  <c r="P63" i="4"/>
  <c r="R63" i="4"/>
  <c r="T63" i="4"/>
  <c r="V63" i="4"/>
  <c r="X63" i="4"/>
  <c r="Z63" i="4"/>
  <c r="AB63" i="4"/>
  <c r="AD63" i="4"/>
  <c r="AF63" i="4"/>
  <c r="AH63" i="4"/>
  <c r="AJ63" i="4"/>
  <c r="AL63" i="4"/>
  <c r="AN63" i="4"/>
  <c r="AP63" i="4"/>
  <c r="AR63" i="4"/>
  <c r="AT63" i="4"/>
  <c r="AV63" i="4"/>
  <c r="AX63" i="4"/>
  <c r="AZ63" i="4"/>
  <c r="BB63" i="4"/>
  <c r="BD63" i="4"/>
  <c r="BF63" i="4"/>
  <c r="BH63" i="4"/>
  <c r="BJ63" i="4"/>
  <c r="BL63" i="4"/>
  <c r="BN63" i="4"/>
  <c r="F66" i="4"/>
  <c r="H66" i="4"/>
  <c r="J66" i="4"/>
  <c r="L66" i="4"/>
  <c r="N66" i="4"/>
  <c r="P66" i="4"/>
  <c r="R66" i="4"/>
  <c r="T66" i="4"/>
  <c r="V66" i="4"/>
  <c r="X66" i="4"/>
  <c r="Z66" i="4"/>
  <c r="AB66" i="4"/>
  <c r="AD66" i="4"/>
  <c r="AF66" i="4"/>
  <c r="AH66" i="4"/>
  <c r="AJ66" i="4"/>
  <c r="AL66" i="4"/>
  <c r="AN66" i="4"/>
  <c r="AP66" i="4"/>
  <c r="AR66" i="4"/>
  <c r="AT66" i="4"/>
  <c r="AV66" i="4"/>
  <c r="AX66" i="4"/>
  <c r="AZ66" i="4"/>
  <c r="BB66" i="4"/>
  <c r="BD66" i="4"/>
  <c r="BF66" i="4"/>
  <c r="BH66" i="4"/>
  <c r="BJ66" i="4"/>
  <c r="BL66" i="4"/>
  <c r="BN66" i="4"/>
  <c r="F69" i="4"/>
  <c r="H69" i="4"/>
  <c r="J69" i="4"/>
  <c r="L69" i="4"/>
  <c r="N69" i="4"/>
  <c r="P69" i="4"/>
  <c r="R69" i="4"/>
  <c r="T69" i="4"/>
  <c r="V69" i="4"/>
  <c r="X69" i="4"/>
  <c r="Z69" i="4"/>
  <c r="AB69" i="4"/>
  <c r="AD69" i="4"/>
  <c r="AF69" i="4"/>
  <c r="AH69" i="4"/>
  <c r="AJ69" i="4"/>
  <c r="AL69" i="4"/>
  <c r="AN69" i="4"/>
  <c r="AP69" i="4"/>
  <c r="AR69" i="4"/>
  <c r="AT69" i="4"/>
  <c r="AV69" i="4"/>
  <c r="AX69" i="4"/>
  <c r="AZ69" i="4"/>
  <c r="BB69" i="4"/>
  <c r="BD69" i="4"/>
  <c r="BF69" i="4"/>
  <c r="BH69" i="4"/>
  <c r="BJ69" i="4"/>
  <c r="BL69" i="4"/>
  <c r="BN69" i="4"/>
  <c r="F72" i="4"/>
  <c r="H72" i="4"/>
  <c r="J72" i="4"/>
  <c r="L72" i="4"/>
  <c r="N72" i="4"/>
  <c r="P72" i="4"/>
  <c r="R72" i="4"/>
  <c r="T72" i="4"/>
  <c r="V72" i="4"/>
  <c r="X72" i="4"/>
  <c r="Z72" i="4"/>
  <c r="AB72" i="4"/>
  <c r="AD72" i="4"/>
  <c r="AF72" i="4"/>
  <c r="AH72" i="4"/>
  <c r="AJ72" i="4"/>
  <c r="AL72" i="4"/>
  <c r="AN72" i="4"/>
  <c r="AP72" i="4"/>
  <c r="AR72" i="4"/>
  <c r="AT72" i="4"/>
  <c r="AV72" i="4"/>
  <c r="AX72" i="4"/>
  <c r="AZ72" i="4"/>
  <c r="BB72" i="4"/>
  <c r="BD72" i="4"/>
  <c r="BF72" i="4"/>
  <c r="BH72" i="4"/>
  <c r="BJ72" i="4"/>
  <c r="BL72" i="4"/>
  <c r="BN72" i="4"/>
  <c r="F75" i="4"/>
  <c r="H75" i="4"/>
  <c r="J75" i="4"/>
  <c r="L75" i="4"/>
  <c r="N75" i="4"/>
  <c r="P75" i="4"/>
  <c r="R75" i="4"/>
  <c r="T75" i="4"/>
  <c r="V75" i="4"/>
  <c r="X75" i="4"/>
  <c r="Z75" i="4"/>
  <c r="AB75" i="4"/>
  <c r="AD75" i="4"/>
  <c r="AF75" i="4"/>
  <c r="AH75" i="4"/>
  <c r="AJ75" i="4"/>
  <c r="AL75" i="4"/>
  <c r="AN75" i="4"/>
  <c r="AP75" i="4"/>
  <c r="AR75" i="4"/>
  <c r="AT75" i="4"/>
  <c r="AV75" i="4"/>
  <c r="AX75" i="4"/>
  <c r="AZ75" i="4"/>
  <c r="BB75" i="4"/>
  <c r="BD75" i="4"/>
  <c r="BF75" i="4"/>
  <c r="BH75" i="4"/>
  <c r="BJ75" i="4"/>
  <c r="BL75" i="4"/>
  <c r="BN75" i="4"/>
  <c r="F78" i="4"/>
  <c r="H78" i="4"/>
  <c r="J78" i="4"/>
  <c r="L78" i="4"/>
  <c r="N78" i="4"/>
  <c r="P78" i="4"/>
  <c r="R78" i="4"/>
  <c r="T78" i="4"/>
  <c r="V78" i="4"/>
  <c r="X78" i="4"/>
  <c r="Z78" i="4"/>
  <c r="AB78" i="4"/>
  <c r="AD78" i="4"/>
  <c r="AF78" i="4"/>
  <c r="AH78" i="4"/>
  <c r="AJ78" i="4"/>
  <c r="AL78" i="4"/>
  <c r="AN78" i="4"/>
  <c r="AP78" i="4"/>
  <c r="AR78" i="4"/>
  <c r="AT78" i="4"/>
  <c r="AV78" i="4"/>
  <c r="AX78" i="4"/>
  <c r="AZ78" i="4"/>
  <c r="BB78" i="4"/>
  <c r="BD78" i="4"/>
  <c r="BF78" i="4"/>
  <c r="BH78" i="4"/>
  <c r="BJ78" i="4"/>
  <c r="BL78" i="4"/>
  <c r="BN78" i="4"/>
  <c r="F6" i="4"/>
  <c r="H6" i="4"/>
  <c r="J6" i="4"/>
  <c r="L6" i="4"/>
  <c r="N6" i="4"/>
  <c r="P6" i="4"/>
  <c r="R6" i="4"/>
  <c r="T6" i="4"/>
  <c r="V6" i="4"/>
  <c r="X6" i="4"/>
  <c r="Z6" i="4"/>
  <c r="AB6" i="4"/>
  <c r="AD6" i="4"/>
  <c r="AF6" i="4"/>
  <c r="AH6" i="4"/>
  <c r="AJ6" i="4"/>
  <c r="AL6" i="4"/>
  <c r="AN6" i="4"/>
  <c r="AP6" i="4"/>
  <c r="AR6" i="4"/>
  <c r="AT6" i="4"/>
  <c r="AV6" i="4"/>
  <c r="AX6" i="4"/>
  <c r="AZ6" i="4"/>
  <c r="BB6" i="4"/>
  <c r="BD6" i="4"/>
  <c r="BF6" i="4"/>
  <c r="BH6" i="4"/>
  <c r="BJ6" i="4"/>
  <c r="BL6" i="4"/>
  <c r="BN6" i="4"/>
  <c r="H3" i="4"/>
  <c r="J3" i="4"/>
  <c r="L3" i="4"/>
  <c r="N3" i="4"/>
  <c r="P3" i="4"/>
  <c r="R3" i="4"/>
  <c r="T3" i="4"/>
  <c r="V3" i="4"/>
  <c r="X3" i="4"/>
  <c r="Z3" i="4"/>
  <c r="AB3" i="4"/>
  <c r="AD3" i="4"/>
  <c r="AF3" i="4"/>
  <c r="AH3" i="4"/>
  <c r="AJ3" i="4"/>
  <c r="AL3" i="4"/>
  <c r="AN3" i="4"/>
  <c r="AP3" i="4"/>
  <c r="AR3" i="4"/>
  <c r="AT3" i="4"/>
  <c r="AV3" i="4"/>
  <c r="AX3" i="4"/>
  <c r="AZ3" i="4"/>
  <c r="BB3" i="4"/>
  <c r="BD3" i="4"/>
  <c r="BF3" i="4"/>
  <c r="BH3" i="4"/>
  <c r="BJ3" i="4"/>
  <c r="BL3" i="4"/>
  <c r="BN3" i="4"/>
  <c r="F3" i="4"/>
  <c r="BT2" i="2"/>
  <c r="BT8" i="2"/>
  <c r="BT9" i="2"/>
  <c r="BT10" i="2"/>
  <c r="BT11" i="2"/>
  <c r="BT12" i="2"/>
  <c r="BT13" i="2"/>
  <c r="BT14" i="2"/>
  <c r="BT15" i="2"/>
  <c r="BT16" i="2"/>
  <c r="BT17" i="2"/>
  <c r="BT18" i="2"/>
  <c r="BT19" i="2"/>
  <c r="BT20" i="2"/>
  <c r="BT21" i="2"/>
  <c r="BT22" i="2"/>
  <c r="BT23" i="2"/>
  <c r="BT24" i="2"/>
  <c r="BT25" i="2"/>
  <c r="BT26" i="2"/>
  <c r="BT27" i="2"/>
  <c r="BT28" i="2"/>
  <c r="BT29" i="2"/>
  <c r="BT30" i="2"/>
  <c r="BT31" i="2"/>
  <c r="BT32" i="2"/>
  <c r="BT33" i="2"/>
  <c r="BT34" i="2"/>
  <c r="BT35" i="2"/>
  <c r="BT36" i="2"/>
  <c r="BT37" i="2"/>
  <c r="BT38" i="2"/>
  <c r="BT39" i="2"/>
  <c r="BT40" i="2"/>
  <c r="BT41" i="2"/>
  <c r="BT42" i="2"/>
  <c r="BT43" i="2"/>
  <c r="BT44" i="2"/>
  <c r="BT45" i="2"/>
  <c r="BT46" i="2"/>
  <c r="BT47" i="2"/>
  <c r="BT48" i="2"/>
  <c r="BT49" i="2"/>
  <c r="BT50" i="2"/>
  <c r="BT51" i="2"/>
  <c r="BT52" i="2"/>
  <c r="BT53" i="2"/>
  <c r="BT54" i="2"/>
  <c r="BT55" i="2"/>
  <c r="BT56" i="2"/>
  <c r="BT57" i="2"/>
  <c r="BT58" i="2"/>
  <c r="BT59" i="2"/>
  <c r="BT60" i="2"/>
  <c r="BT61" i="2"/>
  <c r="BT62" i="2"/>
  <c r="BT63" i="2"/>
  <c r="BT64" i="2"/>
  <c r="BT65" i="2"/>
  <c r="BT66" i="2"/>
  <c r="BT67" i="2"/>
  <c r="BT68" i="2"/>
  <c r="BT69" i="2"/>
  <c r="BT70" i="2"/>
  <c r="BT71" i="2"/>
  <c r="BT72" i="2"/>
  <c r="BT73" i="2"/>
  <c r="BT74" i="2"/>
  <c r="BT75" i="2"/>
  <c r="BT76" i="2"/>
  <c r="BT77" i="2"/>
  <c r="BT78" i="2"/>
  <c r="BT79" i="2"/>
  <c r="BT80" i="2"/>
  <c r="BT81" i="2"/>
  <c r="BT82" i="2"/>
  <c r="BT83" i="2"/>
  <c r="BT84" i="2"/>
  <c r="BT7" i="2"/>
  <c r="F1" i="4" l="1"/>
  <c r="H1" i="4"/>
  <c r="J1" i="4"/>
  <c r="L1" i="4"/>
  <c r="N1" i="4"/>
  <c r="P1" i="4"/>
  <c r="R1" i="4"/>
  <c r="T1" i="4"/>
  <c r="V1" i="4"/>
  <c r="X1" i="4"/>
  <c r="Z1" i="4"/>
  <c r="AD1" i="4"/>
  <c r="AF1" i="4"/>
  <c r="AH1" i="4"/>
  <c r="AJ1" i="4"/>
  <c r="AL1" i="4"/>
  <c r="AN1" i="4"/>
  <c r="AP1" i="4"/>
  <c r="AR1" i="4"/>
  <c r="AT1" i="4"/>
  <c r="AV1" i="4"/>
  <c r="AX1" i="4"/>
  <c r="AZ1" i="4"/>
  <c r="BB1" i="4"/>
  <c r="BD1" i="4"/>
  <c r="BF1" i="4"/>
  <c r="BH1" i="4"/>
  <c r="BJ1" i="4"/>
  <c r="BL1" i="4"/>
  <c r="BN1" i="4"/>
  <c r="AB1" i="4"/>
  <c r="BY9" i="2" l="1"/>
  <c r="BY10" i="2"/>
  <c r="BY11" i="2"/>
  <c r="BZ10" i="2" s="1"/>
  <c r="BY12" i="2"/>
  <c r="BY13" i="2"/>
  <c r="BY14" i="2"/>
  <c r="BY15" i="2"/>
  <c r="BY16" i="2"/>
  <c r="BY17" i="2"/>
  <c r="BY18" i="2"/>
  <c r="BY19" i="2"/>
  <c r="BY20" i="2"/>
  <c r="BY21" i="2"/>
  <c r="BY22" i="2"/>
  <c r="BY23" i="2"/>
  <c r="BY24" i="2"/>
  <c r="BY25" i="2"/>
  <c r="BZ25" i="2" s="1"/>
  <c r="BY26" i="2"/>
  <c r="BY27" i="2"/>
  <c r="BY28" i="2"/>
  <c r="BY29" i="2"/>
  <c r="BZ28" i="2" s="1"/>
  <c r="BY30" i="2"/>
  <c r="BY31" i="2"/>
  <c r="BZ31" i="2" s="1"/>
  <c r="BY32" i="2"/>
  <c r="BY33" i="2"/>
  <c r="BY34" i="2"/>
  <c r="BY35" i="2"/>
  <c r="BZ34" i="2" s="1"/>
  <c r="BY36" i="2"/>
  <c r="BY37" i="2"/>
  <c r="BZ37" i="2" s="1"/>
  <c r="BY38" i="2"/>
  <c r="BY39" i="2"/>
  <c r="BY40" i="2"/>
  <c r="BY41" i="2"/>
  <c r="BZ40" i="2" s="1"/>
  <c r="BY42" i="2"/>
  <c r="BY43" i="2"/>
  <c r="BZ43" i="2" s="1"/>
  <c r="BY44" i="2"/>
  <c r="BY45" i="2"/>
  <c r="BY46" i="2"/>
  <c r="BY47" i="2"/>
  <c r="BZ46" i="2" s="1"/>
  <c r="BY48" i="2"/>
  <c r="BY49" i="2"/>
  <c r="BZ49" i="2" s="1"/>
  <c r="BY50" i="2"/>
  <c r="BY51" i="2"/>
  <c r="BY52" i="2"/>
  <c r="BY53" i="2"/>
  <c r="BZ52" i="2" s="1"/>
  <c r="BY54" i="2"/>
  <c r="BY55" i="2"/>
  <c r="BZ55" i="2" s="1"/>
  <c r="BY56" i="2"/>
  <c r="BY57" i="2"/>
  <c r="BY58" i="2"/>
  <c r="BY59" i="2"/>
  <c r="BZ58" i="2" s="1"/>
  <c r="BY60" i="2"/>
  <c r="BY61" i="2"/>
  <c r="BZ61" i="2" s="1"/>
  <c r="BY62" i="2"/>
  <c r="BY63" i="2"/>
  <c r="BY64" i="2"/>
  <c r="BY65" i="2"/>
  <c r="BZ64" i="2" s="1"/>
  <c r="BY66" i="2"/>
  <c r="BY67" i="2"/>
  <c r="BY68" i="2"/>
  <c r="BY69" i="2"/>
  <c r="BY70" i="2"/>
  <c r="BY71" i="2"/>
  <c r="BY72" i="2"/>
  <c r="BY73" i="2"/>
  <c r="BZ73" i="2" s="1"/>
  <c r="BY74" i="2"/>
  <c r="BY75" i="2"/>
  <c r="BY76" i="2"/>
  <c r="BY77" i="2"/>
  <c r="BY78" i="2"/>
  <c r="BY79" i="2"/>
  <c r="BZ79" i="2" s="1"/>
  <c r="BY80" i="2"/>
  <c r="BY81" i="2"/>
  <c r="BY82" i="2"/>
  <c r="BY83" i="2"/>
  <c r="BZ82" i="2" s="1"/>
  <c r="BY84" i="2"/>
  <c r="BY7" i="2"/>
  <c r="BZ7" i="2" s="1"/>
  <c r="BW10" i="2"/>
  <c r="BW11" i="2"/>
  <c r="BW12" i="2"/>
  <c r="BW13" i="2"/>
  <c r="BW14" i="2"/>
  <c r="BW15" i="2"/>
  <c r="BW16" i="2"/>
  <c r="BW17" i="2"/>
  <c r="BX16" i="2" s="1"/>
  <c r="BW18" i="2"/>
  <c r="BW19" i="2"/>
  <c r="BX19" i="2" s="1"/>
  <c r="BW20" i="2"/>
  <c r="BW21" i="2"/>
  <c r="BW22" i="2"/>
  <c r="BW23" i="2"/>
  <c r="BX22" i="2" s="1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X67" i="2" s="1"/>
  <c r="BW68" i="2"/>
  <c r="BW69" i="2"/>
  <c r="BW70" i="2"/>
  <c r="BW71" i="2"/>
  <c r="BX70" i="2" s="1"/>
  <c r="BW72" i="2"/>
  <c r="BW73" i="2"/>
  <c r="BW74" i="2"/>
  <c r="BW75" i="2"/>
  <c r="BW76" i="2"/>
  <c r="BW77" i="2"/>
  <c r="BX76" i="2" s="1"/>
  <c r="BW78" i="2"/>
  <c r="BW79" i="2"/>
  <c r="BW80" i="2"/>
  <c r="BW81" i="2"/>
  <c r="BW82" i="2"/>
  <c r="BW83" i="2"/>
  <c r="BW84" i="2"/>
  <c r="BW8" i="2"/>
  <c r="BW9" i="2"/>
  <c r="BW7" i="2"/>
  <c r="BP81" i="4"/>
  <c r="BP3" i="2"/>
  <c r="BP4" i="2"/>
  <c r="BP2" i="2"/>
  <c r="BL81" i="4"/>
  <c r="C15" i="4"/>
  <c r="C18" i="4"/>
  <c r="C21" i="4"/>
  <c r="C24" i="4"/>
  <c r="C27" i="4"/>
  <c r="C30" i="4"/>
  <c r="C33" i="4"/>
  <c r="C39" i="4"/>
  <c r="C42" i="4"/>
  <c r="C45" i="4"/>
  <c r="C48" i="4"/>
  <c r="C51" i="4"/>
  <c r="C54" i="4"/>
  <c r="C57" i="4"/>
  <c r="C60" i="4"/>
  <c r="C63" i="4"/>
  <c r="C66" i="4"/>
  <c r="C69" i="4"/>
  <c r="C72" i="4"/>
  <c r="C75" i="4"/>
  <c r="C78" i="4"/>
  <c r="C81" i="4"/>
  <c r="C12" i="4"/>
  <c r="C9" i="4"/>
  <c r="C6" i="4"/>
  <c r="C3" i="4"/>
  <c r="D86" i="2"/>
  <c r="D2" i="2" s="1"/>
  <c r="E86" i="2"/>
  <c r="E2" i="2" s="1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L2" i="2" s="1"/>
  <c r="BM86" i="2"/>
  <c r="BN86" i="2"/>
  <c r="BN2" i="2" s="1"/>
  <c r="BQ86" i="2"/>
  <c r="BQ2" i="2" s="1"/>
  <c r="D87" i="2"/>
  <c r="D3" i="2" s="1"/>
  <c r="E87" i="2"/>
  <c r="E3" i="2" s="1"/>
  <c r="F87" i="2"/>
  <c r="F3" i="2" s="1"/>
  <c r="G87" i="2"/>
  <c r="H87" i="2"/>
  <c r="H3" i="2" s="1"/>
  <c r="I87" i="2"/>
  <c r="J87" i="2"/>
  <c r="J3" i="2" s="1"/>
  <c r="K87" i="2"/>
  <c r="L87" i="2"/>
  <c r="L3" i="2" s="1"/>
  <c r="M87" i="2"/>
  <c r="N87" i="2"/>
  <c r="N3" i="2" s="1"/>
  <c r="O87" i="2"/>
  <c r="P87" i="2"/>
  <c r="P3" i="2" s="1"/>
  <c r="Q87" i="2"/>
  <c r="R87" i="2"/>
  <c r="R3" i="2" s="1"/>
  <c r="S87" i="2"/>
  <c r="T87" i="2"/>
  <c r="T3" i="2" s="1"/>
  <c r="U87" i="2"/>
  <c r="V87" i="2"/>
  <c r="V3" i="2" s="1"/>
  <c r="W87" i="2"/>
  <c r="X87" i="2"/>
  <c r="X3" i="2" s="1"/>
  <c r="Y87" i="2"/>
  <c r="Z87" i="2"/>
  <c r="Z3" i="2" s="1"/>
  <c r="AA87" i="2"/>
  <c r="AB87" i="2"/>
  <c r="AB3" i="2" s="1"/>
  <c r="AC87" i="2"/>
  <c r="AD87" i="2"/>
  <c r="AD3" i="2" s="1"/>
  <c r="AE87" i="2"/>
  <c r="AF87" i="2"/>
  <c r="AF3" i="2" s="1"/>
  <c r="AG87" i="2"/>
  <c r="AH87" i="2"/>
  <c r="AH3" i="2" s="1"/>
  <c r="AI87" i="2"/>
  <c r="AJ87" i="2"/>
  <c r="AJ3" i="2" s="1"/>
  <c r="AK87" i="2"/>
  <c r="AL87" i="2"/>
  <c r="AL3" i="2" s="1"/>
  <c r="AM87" i="2"/>
  <c r="AN87" i="2"/>
  <c r="AN3" i="2" s="1"/>
  <c r="AO87" i="2"/>
  <c r="AP87" i="2"/>
  <c r="AP3" i="2" s="1"/>
  <c r="AQ87" i="2"/>
  <c r="AR87" i="2"/>
  <c r="AR3" i="2" s="1"/>
  <c r="AS87" i="2"/>
  <c r="AT87" i="2"/>
  <c r="AT3" i="2" s="1"/>
  <c r="AU87" i="2"/>
  <c r="AV87" i="2"/>
  <c r="AV3" i="2" s="1"/>
  <c r="AW87" i="2"/>
  <c r="AX87" i="2"/>
  <c r="AY87" i="2"/>
  <c r="AZ87" i="2"/>
  <c r="AZ3" i="2" s="1"/>
  <c r="BA87" i="2"/>
  <c r="BB87" i="2"/>
  <c r="BB3" i="2" s="1"/>
  <c r="BC87" i="2"/>
  <c r="BD87" i="2"/>
  <c r="BD3" i="2" s="1"/>
  <c r="BE87" i="2"/>
  <c r="BF87" i="2"/>
  <c r="BF3" i="2" s="1"/>
  <c r="BG87" i="2"/>
  <c r="BH87" i="2"/>
  <c r="BH3" i="2" s="1"/>
  <c r="BI87" i="2"/>
  <c r="BJ87" i="2"/>
  <c r="BJ3" i="2" s="1"/>
  <c r="BK87" i="2"/>
  <c r="BL87" i="2"/>
  <c r="BL3" i="2" s="1"/>
  <c r="BM87" i="2"/>
  <c r="BN87" i="2"/>
  <c r="BN3" i="2" s="1"/>
  <c r="BQ87" i="2"/>
  <c r="BQ3" i="2" s="1"/>
  <c r="D88" i="2"/>
  <c r="D4" i="2" s="1"/>
  <c r="E88" i="2"/>
  <c r="E4" i="2" s="1"/>
  <c r="F88" i="2"/>
  <c r="F4" i="2" s="1"/>
  <c r="G88" i="2"/>
  <c r="H88" i="2"/>
  <c r="H4" i="2" s="1"/>
  <c r="I88" i="2"/>
  <c r="J88" i="2"/>
  <c r="J4" i="2" s="1"/>
  <c r="K88" i="2"/>
  <c r="L88" i="2"/>
  <c r="L4" i="2" s="1"/>
  <c r="M88" i="2"/>
  <c r="N88" i="2"/>
  <c r="N4" i="2" s="1"/>
  <c r="P88" i="2"/>
  <c r="P4" i="2" s="1"/>
  <c r="Q88" i="2"/>
  <c r="R88" i="2"/>
  <c r="R4" i="2" s="1"/>
  <c r="S88" i="2"/>
  <c r="T88" i="2"/>
  <c r="T4" i="2" s="1"/>
  <c r="U88" i="2"/>
  <c r="W88" i="2"/>
  <c r="X88" i="2"/>
  <c r="X4" i="2" s="1"/>
  <c r="Z88" i="2"/>
  <c r="Z4" i="2" s="1"/>
  <c r="AA88" i="2"/>
  <c r="AB88" i="2"/>
  <c r="AB4" i="2" s="1"/>
  <c r="AC88" i="2"/>
  <c r="AD88" i="2"/>
  <c r="AD4" i="2" s="1"/>
  <c r="AE88" i="2"/>
  <c r="AF88" i="2"/>
  <c r="AF4" i="2" s="1"/>
  <c r="AG88" i="2"/>
  <c r="AH88" i="2"/>
  <c r="AH4" i="2" s="1"/>
  <c r="AI88" i="2"/>
  <c r="AJ88" i="2"/>
  <c r="AJ4" i="2" s="1"/>
  <c r="AK88" i="2"/>
  <c r="AL88" i="2"/>
  <c r="AL4" i="2" s="1"/>
  <c r="AM88" i="2"/>
  <c r="AN88" i="2"/>
  <c r="AN4" i="2" s="1"/>
  <c r="AO88" i="2"/>
  <c r="AP88" i="2"/>
  <c r="AP4" i="2" s="1"/>
  <c r="AQ88" i="2"/>
  <c r="AR88" i="2"/>
  <c r="AR4" i="2" s="1"/>
  <c r="AS88" i="2"/>
  <c r="AT88" i="2"/>
  <c r="AT4" i="2" s="1"/>
  <c r="AU88" i="2"/>
  <c r="AV88" i="2"/>
  <c r="AV4" i="2" s="1"/>
  <c r="AW88" i="2"/>
  <c r="AX88" i="2"/>
  <c r="AX4" i="2" s="1"/>
  <c r="AY88" i="2"/>
  <c r="AZ88" i="2"/>
  <c r="AZ4" i="2" s="1"/>
  <c r="BA88" i="2"/>
  <c r="BB88" i="2"/>
  <c r="BB4" i="2" s="1"/>
  <c r="BC88" i="2"/>
  <c r="BD88" i="2"/>
  <c r="BD4" i="2" s="1"/>
  <c r="BE88" i="2"/>
  <c r="BF88" i="2"/>
  <c r="BF4" i="2" s="1"/>
  <c r="BG88" i="2"/>
  <c r="BH88" i="2"/>
  <c r="BH4" i="2" s="1"/>
  <c r="BI88" i="2"/>
  <c r="BJ88" i="2"/>
  <c r="BJ4" i="2" s="1"/>
  <c r="BK88" i="2"/>
  <c r="BL88" i="2"/>
  <c r="BL4" i="2" s="1"/>
  <c r="BM88" i="2"/>
  <c r="BN88" i="2"/>
  <c r="BN4" i="2" s="1"/>
  <c r="BQ88" i="2"/>
  <c r="BQ4" i="2" s="1"/>
  <c r="BY85" i="2"/>
  <c r="BR84" i="2"/>
  <c r="C84" i="2"/>
  <c r="A84" i="2"/>
  <c r="BR83" i="2"/>
  <c r="C83" i="2"/>
  <c r="BP78" i="4" s="1"/>
  <c r="BX82" i="2"/>
  <c r="BU82" i="2"/>
  <c r="BR82" i="2"/>
  <c r="BS82" i="2" s="1"/>
  <c r="BR81" i="2"/>
  <c r="A81" i="2"/>
  <c r="BR80" i="2"/>
  <c r="C80" i="2"/>
  <c r="BP75" i="4" s="1"/>
  <c r="BX79" i="2"/>
  <c r="BU79" i="2"/>
  <c r="BR79" i="2"/>
  <c r="BS79" i="2" s="1"/>
  <c r="BR78" i="2"/>
  <c r="A78" i="2"/>
  <c r="BR77" i="2"/>
  <c r="BZ76" i="2"/>
  <c r="BU76" i="2"/>
  <c r="BR76" i="2"/>
  <c r="BS76" i="2" s="1"/>
  <c r="BR75" i="2"/>
  <c r="A75" i="2" s="1"/>
  <c r="BR74" i="2"/>
  <c r="BX73" i="2"/>
  <c r="BU73" i="2"/>
  <c r="BR73" i="2"/>
  <c r="BS73" i="2" s="1"/>
  <c r="BR72" i="2"/>
  <c r="A72" i="2"/>
  <c r="BR71" i="2"/>
  <c r="BZ70" i="2"/>
  <c r="BU70" i="2"/>
  <c r="BR70" i="2"/>
  <c r="BS70" i="2" s="1"/>
  <c r="BR69" i="2"/>
  <c r="A69" i="2" s="1"/>
  <c r="BR68" i="2"/>
  <c r="BZ67" i="2"/>
  <c r="BR67" i="2"/>
  <c r="BS67" i="2" s="1"/>
  <c r="BR66" i="2"/>
  <c r="A66" i="2" s="1"/>
  <c r="BR65" i="2"/>
  <c r="BX64" i="2"/>
  <c r="BU64" i="2"/>
  <c r="BR64" i="2"/>
  <c r="BS64" i="2" s="1"/>
  <c r="BR63" i="2"/>
  <c r="A63" i="2" s="1"/>
  <c r="BR62" i="2"/>
  <c r="BX61" i="2"/>
  <c r="BU61" i="2"/>
  <c r="BR61" i="2"/>
  <c r="BS61" i="2" s="1"/>
  <c r="BR60" i="2"/>
  <c r="A60" i="2" s="1"/>
  <c r="BR59" i="2"/>
  <c r="BX58" i="2"/>
  <c r="BU58" i="2"/>
  <c r="BR58" i="2"/>
  <c r="BS58" i="2" s="1"/>
  <c r="BR57" i="2"/>
  <c r="A57" i="2" s="1"/>
  <c r="BR56" i="2"/>
  <c r="BX55" i="2"/>
  <c r="BU55" i="2"/>
  <c r="BR55" i="2"/>
  <c r="BS55" i="2" s="1"/>
  <c r="BR54" i="2"/>
  <c r="A54" i="2" s="1"/>
  <c r="BR53" i="2"/>
  <c r="BX52" i="2"/>
  <c r="BU52" i="2"/>
  <c r="BR52" i="2"/>
  <c r="BS52" i="2" s="1"/>
  <c r="BR51" i="2"/>
  <c r="A51" i="2" s="1"/>
  <c r="BR50" i="2"/>
  <c r="BX49" i="2"/>
  <c r="BU49" i="2"/>
  <c r="BR49" i="2"/>
  <c r="BS49" i="2" s="1"/>
  <c r="BR48" i="2"/>
  <c r="A48" i="2" s="1"/>
  <c r="BR47" i="2"/>
  <c r="BX46" i="2"/>
  <c r="BU46" i="2"/>
  <c r="BR46" i="2"/>
  <c r="BS46" i="2" s="1"/>
  <c r="BR45" i="2"/>
  <c r="A45" i="2" s="1"/>
  <c r="BR44" i="2"/>
  <c r="BX43" i="2"/>
  <c r="BU43" i="2"/>
  <c r="BR43" i="2"/>
  <c r="BS43" i="2" s="1"/>
  <c r="BR42" i="2"/>
  <c r="A42" i="2" s="1"/>
  <c r="BR41" i="2"/>
  <c r="BX40" i="2"/>
  <c r="BU40" i="2"/>
  <c r="BR40" i="2"/>
  <c r="BS40" i="2" s="1"/>
  <c r="BR39" i="2"/>
  <c r="A39" i="2" s="1"/>
  <c r="BR38" i="2"/>
  <c r="BX37" i="2"/>
  <c r="BU37" i="2"/>
  <c r="BR37" i="2"/>
  <c r="BS37" i="2" s="1"/>
  <c r="BR36" i="2"/>
  <c r="A36" i="2" s="1"/>
  <c r="BR35" i="2"/>
  <c r="BX34" i="2"/>
  <c r="BU34" i="2"/>
  <c r="BR34" i="2"/>
  <c r="BS34" i="2" s="1"/>
  <c r="BR33" i="2"/>
  <c r="A33" i="2" s="1"/>
  <c r="BR32" i="2"/>
  <c r="BX31" i="2"/>
  <c r="BU31" i="2"/>
  <c r="BR31" i="2"/>
  <c r="BS31" i="2" s="1"/>
  <c r="BR30" i="2"/>
  <c r="A30" i="2" s="1"/>
  <c r="BR29" i="2"/>
  <c r="BX28" i="2"/>
  <c r="BU28" i="2"/>
  <c r="BR28" i="2"/>
  <c r="BS28" i="2" s="1"/>
  <c r="BR27" i="2"/>
  <c r="A27" i="2" s="1"/>
  <c r="BR26" i="2"/>
  <c r="BX25" i="2"/>
  <c r="BU25" i="2"/>
  <c r="BR24" i="2"/>
  <c r="A24" i="2" s="1"/>
  <c r="BR23" i="2"/>
  <c r="BZ22" i="2"/>
  <c r="BU22" i="2"/>
  <c r="BR22" i="2"/>
  <c r="BR21" i="2"/>
  <c r="A21" i="2" s="1"/>
  <c r="BR20" i="2"/>
  <c r="BZ19" i="2"/>
  <c r="BU19" i="2"/>
  <c r="BR19" i="2"/>
  <c r="BR18" i="2"/>
  <c r="A18" i="2" s="1"/>
  <c r="BR17" i="2"/>
  <c r="BZ16" i="2"/>
  <c r="BU16" i="2"/>
  <c r="A17" i="2" s="1"/>
  <c r="BR16" i="2"/>
  <c r="BR15" i="2"/>
  <c r="A15" i="2" s="1"/>
  <c r="BR14" i="2"/>
  <c r="BZ13" i="2"/>
  <c r="BU13" i="2"/>
  <c r="BR13" i="2"/>
  <c r="BR11" i="2"/>
  <c r="BX10" i="2"/>
  <c r="BR10" i="2"/>
  <c r="BR9" i="2"/>
  <c r="A9" i="2" s="1"/>
  <c r="BY8" i="2"/>
  <c r="BR8" i="2"/>
  <c r="BX7" i="2"/>
  <c r="BU7" i="2"/>
  <c r="BR7" i="2"/>
  <c r="BS7" i="2" s="1"/>
  <c r="BX13" i="2" l="1"/>
  <c r="BX85" i="2" s="1"/>
  <c r="BS13" i="2"/>
  <c r="BS16" i="2"/>
  <c r="BS19" i="2"/>
  <c r="BS22" i="2"/>
  <c r="BN81" i="4"/>
  <c r="BJ81" i="4"/>
  <c r="BH81" i="4"/>
  <c r="BF81" i="4"/>
  <c r="BD81" i="4"/>
  <c r="BB81" i="4"/>
  <c r="AZ81" i="4"/>
  <c r="AX81" i="4"/>
  <c r="AV81" i="4"/>
  <c r="AT81" i="4"/>
  <c r="AR81" i="4"/>
  <c r="AP81" i="4"/>
  <c r="AN81" i="4"/>
  <c r="AL81" i="4"/>
  <c r="AJ81" i="4"/>
  <c r="AH81" i="4"/>
  <c r="AF81" i="4"/>
  <c r="AD81" i="4"/>
  <c r="AB81" i="4"/>
  <c r="Z81" i="4"/>
  <c r="X81" i="4"/>
  <c r="V81" i="4"/>
  <c r="T81" i="4"/>
  <c r="R81" i="4"/>
  <c r="N81" i="4"/>
  <c r="L81" i="4"/>
  <c r="J81" i="4"/>
  <c r="H81" i="4"/>
  <c r="P81" i="4"/>
  <c r="BH2" i="2"/>
  <c r="BF2" i="2"/>
  <c r="BB2" i="2"/>
  <c r="BD2" i="2"/>
  <c r="BJ2" i="2"/>
  <c r="Z2" i="2"/>
  <c r="AZ2" i="2"/>
  <c r="AX2" i="2"/>
  <c r="AR2" i="2"/>
  <c r="AP2" i="2"/>
  <c r="AN2" i="2"/>
  <c r="AL2" i="2"/>
  <c r="AJ2" i="2"/>
  <c r="AH2" i="2"/>
  <c r="AF2" i="2"/>
  <c r="AD2" i="2"/>
  <c r="AB2" i="2"/>
  <c r="X2" i="2"/>
  <c r="V2" i="2"/>
  <c r="T2" i="2"/>
  <c r="P2" i="2"/>
  <c r="N2" i="2"/>
  <c r="L2" i="2"/>
  <c r="J2" i="2"/>
  <c r="H2" i="2"/>
  <c r="AT2" i="2"/>
  <c r="R2" i="2"/>
  <c r="AV2" i="2"/>
  <c r="AX3" i="2"/>
  <c r="BR3" i="2" s="1"/>
  <c r="BV7" i="2"/>
  <c r="BZ85" i="2"/>
  <c r="CA7" i="2"/>
  <c r="C7" i="2" s="1"/>
  <c r="CA10" i="2"/>
  <c r="C10" i="2" s="1"/>
  <c r="BV13" i="2"/>
  <c r="BV16" i="2"/>
  <c r="CA16" i="2"/>
  <c r="C16" i="2" s="1"/>
  <c r="BV19" i="2"/>
  <c r="CA19" i="2"/>
  <c r="C19" i="2" s="1"/>
  <c r="BV22" i="2"/>
  <c r="CA22" i="2"/>
  <c r="C22" i="2" s="1"/>
  <c r="CA25" i="2"/>
  <c r="C25" i="2" s="1"/>
  <c r="BV28" i="2"/>
  <c r="CA28" i="2"/>
  <c r="C28" i="2" s="1"/>
  <c r="BV31" i="2"/>
  <c r="CA31" i="2"/>
  <c r="C31" i="2" s="1"/>
  <c r="BV34" i="2"/>
  <c r="CA34" i="2"/>
  <c r="C34" i="2" s="1"/>
  <c r="BV37" i="2"/>
  <c r="CA37" i="2"/>
  <c r="C37" i="2" s="1"/>
  <c r="BV40" i="2"/>
  <c r="CA40" i="2"/>
  <c r="C40" i="2" s="1"/>
  <c r="BV43" i="2"/>
  <c r="CA43" i="2"/>
  <c r="C43" i="2" s="1"/>
  <c r="BV46" i="2"/>
  <c r="CA46" i="2"/>
  <c r="C46" i="2" s="1"/>
  <c r="BV49" i="2"/>
  <c r="CA49" i="2"/>
  <c r="C49" i="2" s="1"/>
  <c r="BV52" i="2"/>
  <c r="CA52" i="2"/>
  <c r="C52" i="2" s="1"/>
  <c r="BV55" i="2"/>
  <c r="CA55" i="2"/>
  <c r="C55" i="2" s="1"/>
  <c r="BV58" i="2"/>
  <c r="CA58" i="2"/>
  <c r="C58" i="2" s="1"/>
  <c r="BV61" i="2"/>
  <c r="CA61" i="2"/>
  <c r="C61" i="2" s="1"/>
  <c r="BV64" i="2"/>
  <c r="CA64" i="2"/>
  <c r="C64" i="2" s="1"/>
  <c r="CA67" i="2"/>
  <c r="C67" i="2" s="1"/>
  <c r="BV70" i="2"/>
  <c r="CA70" i="2"/>
  <c r="C70" i="2" s="1"/>
  <c r="BV73" i="2"/>
  <c r="CA73" i="2"/>
  <c r="C73" i="2" s="1"/>
  <c r="BV76" i="2"/>
  <c r="CA76" i="2"/>
  <c r="C76" i="2" s="1"/>
  <c r="A80" i="2"/>
  <c r="BV79" i="2"/>
  <c r="CA79" i="2"/>
  <c r="C79" i="2" s="1"/>
  <c r="A83" i="2"/>
  <c r="BV82" i="2"/>
  <c r="CA82" i="2"/>
  <c r="C82" i="2" s="1"/>
  <c r="CA13" i="2" l="1"/>
  <c r="C13" i="2" s="1"/>
  <c r="V88" i="2"/>
  <c r="V4" i="2" s="1"/>
  <c r="BR12" i="2"/>
  <c r="O88" i="2"/>
  <c r="BU67" i="2"/>
  <c r="C65" i="2"/>
  <c r="BP60" i="4" s="1"/>
  <c r="C41" i="2"/>
  <c r="BP36" i="4" s="1"/>
  <c r="C38" i="2"/>
  <c r="BP33" i="4" s="1"/>
  <c r="C23" i="2"/>
  <c r="BP18" i="4" s="1"/>
  <c r="C50" i="2"/>
  <c r="BP45" i="4" s="1"/>
  <c r="C44" i="2"/>
  <c r="BP39" i="4" s="1"/>
  <c r="C62" i="2"/>
  <c r="BP57" i="4" s="1"/>
  <c r="C47" i="2"/>
  <c r="BP42" i="4" s="1"/>
  <c r="C59" i="2"/>
  <c r="BP54" i="4" s="1"/>
  <c r="C56" i="2"/>
  <c r="BP51" i="4" s="1"/>
  <c r="C53" i="2"/>
  <c r="BP48" i="4" s="1"/>
  <c r="C35" i="2"/>
  <c r="BP30" i="4" s="1"/>
  <c r="C32" i="2"/>
  <c r="BP27" i="4" s="1"/>
  <c r="C29" i="2"/>
  <c r="BP24" i="4" s="1"/>
  <c r="C20" i="2"/>
  <c r="BP15" i="4" s="1"/>
  <c r="C17" i="2"/>
  <c r="BP12" i="4" s="1"/>
  <c r="C14" i="2"/>
  <c r="BP9" i="4" s="1"/>
  <c r="C8" i="2"/>
  <c r="BP3" i="4" s="1"/>
  <c r="C77" i="2"/>
  <c r="BP72" i="4" s="1"/>
  <c r="C74" i="2"/>
  <c r="BP69" i="4" s="1"/>
  <c r="C71" i="2"/>
  <c r="BP66" i="4" s="1"/>
  <c r="CA85" i="2"/>
  <c r="BR4" i="2" l="1"/>
  <c r="A12" i="2"/>
  <c r="BS10" i="2"/>
  <c r="Y88" i="2"/>
  <c r="BU10" i="2"/>
  <c r="BU85" i="2"/>
  <c r="BV67" i="2"/>
  <c r="BV10" i="2" l="1"/>
  <c r="C11" i="2" s="1"/>
  <c r="BP6" i="4" s="1"/>
  <c r="C68" i="2"/>
  <c r="BP63" i="4" s="1"/>
  <c r="BR25" i="2"/>
  <c r="BS25" i="2" s="1"/>
  <c r="F86" i="2"/>
  <c r="F81" i="4" s="1"/>
  <c r="F2" i="2"/>
  <c r="BS2" i="2" s="1"/>
  <c r="BV25" i="2" l="1"/>
  <c r="BV85" i="2" s="1"/>
  <c r="BS85" i="2"/>
  <c r="BR2" i="2"/>
  <c r="C26" i="2"/>
  <c r="BP21" i="4" s="1"/>
</calcChain>
</file>

<file path=xl/sharedStrings.xml><?xml version="1.0" encoding="utf-8"?>
<sst xmlns="http://schemas.openxmlformats.org/spreadsheetml/2006/main" count="1737" uniqueCount="73">
  <si>
    <t>ردیف</t>
  </si>
  <si>
    <t>نام و نام خانوادگی</t>
  </si>
  <si>
    <t>وضعیت استخدامی</t>
  </si>
  <si>
    <t>شنبه</t>
  </si>
  <si>
    <t>صبح</t>
  </si>
  <si>
    <t>عصر</t>
  </si>
  <si>
    <t>شب</t>
  </si>
  <si>
    <t>1 شنبه</t>
  </si>
  <si>
    <t>2 شنبه</t>
  </si>
  <si>
    <t>3 شنبه</t>
  </si>
  <si>
    <t>4 شنبه</t>
  </si>
  <si>
    <t>5 شنبه</t>
  </si>
  <si>
    <t>جمعه</t>
  </si>
  <si>
    <t>بهاره کرانی</t>
  </si>
  <si>
    <t>جمع شیفت</t>
  </si>
  <si>
    <t>جمع کل شیفت</t>
  </si>
  <si>
    <t>جمع شیفت جدا 700</t>
  </si>
  <si>
    <t>جمع کل 700</t>
  </si>
  <si>
    <t>جمع شیفت 800</t>
  </si>
  <si>
    <t>جمع کل 800</t>
  </si>
  <si>
    <t>جمع کل تعطیل</t>
  </si>
  <si>
    <t>جمع کل تعطیل 700</t>
  </si>
  <si>
    <t>جمع کل تعطیل 800</t>
  </si>
  <si>
    <t>جمع تعطیل 700</t>
  </si>
  <si>
    <t>جمع تعطیل 800</t>
  </si>
  <si>
    <t>*</t>
  </si>
  <si>
    <t>سمت</t>
  </si>
  <si>
    <t>سابقه</t>
  </si>
  <si>
    <t>ر</t>
  </si>
  <si>
    <t>پ</t>
  </si>
  <si>
    <t>ق</t>
  </si>
  <si>
    <t>ط</t>
  </si>
  <si>
    <t>تعداد شیفت</t>
  </si>
  <si>
    <t>پرسنل</t>
  </si>
  <si>
    <t>!,@,#,$,%,^</t>
  </si>
  <si>
    <t>!,,,,,</t>
  </si>
  <si>
    <t>,@,#,,,^</t>
  </si>
  <si>
    <t>!,@,#,$,%,</t>
  </si>
  <si>
    <t>,@,,,,</t>
  </si>
  <si>
    <t>,,#,,,</t>
  </si>
  <si>
    <t>+</t>
  </si>
  <si>
    <t>1شنبه</t>
  </si>
  <si>
    <t>,@,#,,,$</t>
  </si>
  <si>
    <t>,,,$,%,^</t>
  </si>
  <si>
    <t>,,,,,</t>
  </si>
  <si>
    <t>!,,#,,%,</t>
  </si>
  <si>
    <t>,,#,$,,^</t>
  </si>
  <si>
    <t>!,@,#,$,,^</t>
  </si>
  <si>
    <t>,@,,,,^</t>
  </si>
  <si>
    <t>@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</si>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</sst>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sz val="9"/>
      <color theme="1"/>
      <name val="B Nazanin"/>
      <charset val="178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vertical="center" shrinkToFit="1"/>
    </xf>
    <xf numFmtId="0" fontId="0" fillId="0" borderId="2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2" borderId="2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0" xfId="0" applyFill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3" borderId="6" xfId="0" applyFill="1" applyBorder="1" applyAlignment="1">
      <alignment vertical="center" shrinkToFit="1"/>
    </xf>
    <xf numFmtId="0" fontId="0" fillId="0" borderId="3" xfId="0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22" xfId="0" applyBorder="1" applyAlignment="1">
      <alignment vertical="center" shrinkToFit="1"/>
    </xf>
    <xf numFmtId="0" fontId="0" fillId="0" borderId="23" xfId="0" applyBorder="1" applyAlignment="1">
      <alignment vertical="center" shrinkToFit="1"/>
    </xf>
    <xf numFmtId="0" fontId="0" fillId="0" borderId="24" xfId="0" applyBorder="1" applyAlignment="1">
      <alignment vertical="center" shrinkToFit="1"/>
    </xf>
    <xf numFmtId="0" fontId="0" fillId="0" borderId="25" xfId="0" applyBorder="1" applyAlignment="1">
      <alignment vertical="center" shrinkToFit="1"/>
    </xf>
    <xf numFmtId="0" fontId="1" fillId="0" borderId="0" xfId="0" applyFont="1"/>
    <xf numFmtId="0" fontId="2" fillId="0" borderId="0" xfId="0" applyFont="1"/>
    <xf numFmtId="0" fontId="1" fillId="4" borderId="0" xfId="0" applyFont="1" applyFill="1"/>
    <xf numFmtId="0" fontId="0" fillId="0" borderId="7" xfId="0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0" fontId="0" fillId="5" borderId="0" xfId="0" applyFill="1"/>
    <xf numFmtId="0" fontId="0" fillId="5" borderId="7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8" xfId="0" applyFill="1" applyBorder="1" applyAlignment="1">
      <alignment vertical="center" shrinkToFit="1"/>
    </xf>
    <xf numFmtId="0" fontId="0" fillId="5" borderId="6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2" fillId="0" borderId="14" xfId="0" applyFont="1" applyBorder="1" applyAlignment="1">
      <alignment vertical="center" textRotation="180"/>
    </xf>
    <xf numFmtId="0" fontId="1" fillId="6" borderId="0" xfId="0" applyFont="1" applyFill="1"/>
    <xf numFmtId="0" fontId="1" fillId="0" borderId="0" xfId="0" applyFont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2" borderId="16" xfId="0" applyFill="1" applyBorder="1" applyAlignment="1">
      <alignment horizontal="center" vertical="center" wrapText="1" shrinkToFit="1"/>
    </xf>
    <xf numFmtId="0" fontId="0" fillId="2" borderId="15" xfId="0" applyFill="1" applyBorder="1" applyAlignment="1">
      <alignment horizontal="center" vertical="center" wrapText="1" shrinkToFit="1"/>
    </xf>
    <xf numFmtId="0" fontId="0" fillId="2" borderId="17" xfId="0" applyFill="1" applyBorder="1" applyAlignment="1">
      <alignment horizontal="center" vertical="center" wrapText="1" shrinkToFit="1"/>
    </xf>
    <xf numFmtId="0" fontId="0" fillId="2" borderId="16" xfId="0" applyFill="1" applyBorder="1" applyAlignment="1">
      <alignment horizontal="center" vertical="center" shrinkToFit="1"/>
    </xf>
    <xf numFmtId="0" fontId="0" fillId="2" borderId="15" xfId="0" applyFill="1" applyBorder="1" applyAlignment="1">
      <alignment horizontal="center"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wrapText="1" shrinkToFit="1"/>
    </xf>
    <xf numFmtId="0" fontId="0" fillId="0" borderId="4" xfId="0" applyBorder="1" applyAlignment="1">
      <alignment horizontal="center" vertical="center" wrapText="1" shrinkToFit="1"/>
    </xf>
    <xf numFmtId="0" fontId="0" fillId="2" borderId="6" xfId="0" applyFill="1" applyBorder="1" applyAlignment="1">
      <alignment horizontal="center" vertical="center" shrinkToFit="1"/>
    </xf>
    <xf numFmtId="0" fontId="0" fillId="2" borderId="2" xfId="0" applyFill="1" applyBorder="1" applyAlignment="1">
      <alignment horizontal="center" vertical="center" shrinkToFit="1"/>
    </xf>
    <xf numFmtId="0" fontId="0" fillId="2" borderId="8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13" xfId="0" applyFill="1" applyBorder="1" applyAlignment="1">
      <alignment horizontal="center" vertical="center" shrinkToFit="1" readingOrder="2"/>
    </xf>
    <xf numFmtId="0" fontId="0" fillId="2" borderId="14" xfId="0" applyFill="1" applyBorder="1" applyAlignment="1">
      <alignment horizontal="center" vertical="center" shrinkToFit="1" readingOrder="2"/>
    </xf>
    <xf numFmtId="0" fontId="0" fillId="0" borderId="21" xfId="0" applyBorder="1" applyAlignment="1">
      <alignment horizontal="center" vertical="center" textRotation="90" shrinkToFit="1"/>
    </xf>
    <xf numFmtId="0" fontId="0" fillId="0" borderId="18" xfId="0" applyBorder="1" applyAlignment="1">
      <alignment horizontal="center" vertical="center" textRotation="90" shrinkToFit="1"/>
    </xf>
    <xf numFmtId="0" fontId="0" fillId="2" borderId="2" xfId="0" applyFill="1" applyBorder="1" applyAlignment="1">
      <alignment horizontal="center" vertical="center" textRotation="90" shrinkToFit="1"/>
    </xf>
    <xf numFmtId="0" fontId="0" fillId="2" borderId="5" xfId="0" applyFill="1" applyBorder="1" applyAlignment="1">
      <alignment horizontal="center" vertical="center" textRotation="90" shrinkToFit="1"/>
    </xf>
    <xf numFmtId="0" fontId="0" fillId="2" borderId="19" xfId="0" applyFill="1" applyBorder="1" applyAlignment="1">
      <alignment horizontal="center" vertical="center" shrinkToFit="1"/>
    </xf>
    <xf numFmtId="0" fontId="0" fillId="2" borderId="20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 readingOrder="2"/>
    </xf>
    <xf numFmtId="0" fontId="0" fillId="0" borderId="10" xfId="0" applyBorder="1" applyAlignment="1">
      <alignment horizontal="center" vertical="center" shrinkToFit="1" readingOrder="2"/>
    </xf>
    <xf numFmtId="0" fontId="0" fillId="0" borderId="13" xfId="0" applyBorder="1" applyAlignment="1">
      <alignment horizontal="center" vertical="center" shrinkToFit="1" readingOrder="2"/>
    </xf>
    <xf numFmtId="0" fontId="0" fillId="0" borderId="14" xfId="0" applyBorder="1" applyAlignment="1">
      <alignment horizontal="center" vertical="center" shrinkToFit="1" readingOrder="2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5" borderId="13" xfId="0" applyFill="1" applyBorder="1" applyAlignment="1">
      <alignment horizontal="center" vertical="center" shrinkToFit="1" readingOrder="2"/>
    </xf>
    <xf numFmtId="0" fontId="0" fillId="5" borderId="14" xfId="0" applyFill="1" applyBorder="1" applyAlignment="1">
      <alignment horizontal="center" vertical="center" shrinkToFit="1" readingOrder="2"/>
    </xf>
    <xf numFmtId="0" fontId="0" fillId="5" borderId="19" xfId="0" applyFill="1" applyBorder="1" applyAlignment="1">
      <alignment horizontal="center" vertical="center" shrinkToFit="1"/>
    </xf>
    <xf numFmtId="0" fontId="0" fillId="5" borderId="20" xfId="0" applyFill="1" applyBorder="1" applyAlignment="1">
      <alignment horizontal="center" vertical="center" shrinkToFit="1"/>
    </xf>
    <xf numFmtId="0" fontId="0" fillId="5" borderId="5" xfId="0" applyFill="1" applyBorder="1" applyAlignment="1">
      <alignment horizontal="center" vertical="center" shrinkToFit="1"/>
    </xf>
    <xf numFmtId="0" fontId="1" fillId="2" borderId="26" xfId="0" applyFont="1" applyFill="1" applyBorder="1" applyAlignment="1">
      <alignment horizontal="center" vertical="center" shrinkToFit="1"/>
    </xf>
    <xf numFmtId="0" fontId="1" fillId="2" borderId="27" xfId="0" applyFont="1" applyFill="1" applyBorder="1" applyAlignment="1">
      <alignment horizontal="center" vertical="center" shrinkToFit="1"/>
    </xf>
    <xf numFmtId="0" fontId="1" fillId="2" borderId="11" xfId="0" applyFont="1" applyFill="1" applyBorder="1" applyAlignment="1">
      <alignment horizontal="center" vertical="center" shrinkToFit="1"/>
    </xf>
    <xf numFmtId="0" fontId="1" fillId="2" borderId="28" xfId="0" applyFont="1" applyFill="1" applyBorder="1" applyAlignment="1">
      <alignment horizontal="center" vertical="center" shrinkToFit="1"/>
    </xf>
    <xf numFmtId="0" fontId="1" fillId="2" borderId="29" xfId="0" applyFont="1" applyFill="1" applyBorder="1" applyAlignment="1">
      <alignment horizontal="center" vertical="center" shrinkToFit="1"/>
    </xf>
    <xf numFmtId="0" fontId="1" fillId="2" borderId="30" xfId="0" applyFont="1" applyFill="1" applyBorder="1" applyAlignment="1">
      <alignment horizontal="center" vertical="center" shrinkToFit="1"/>
    </xf>
    <xf numFmtId="0" fontId="1" fillId="6" borderId="26" xfId="0" applyFont="1" applyFill="1" applyBorder="1" applyAlignment="1">
      <alignment horizontal="center" vertical="center" shrinkToFit="1"/>
    </xf>
    <xf numFmtId="0" fontId="1" fillId="6" borderId="27" xfId="0" applyFont="1" applyFill="1" applyBorder="1" applyAlignment="1">
      <alignment horizontal="center" vertical="center" shrinkToFit="1"/>
    </xf>
    <xf numFmtId="0" fontId="1" fillId="6" borderId="11" xfId="0" applyFont="1" applyFill="1" applyBorder="1" applyAlignment="1">
      <alignment horizontal="center" vertical="center" shrinkToFit="1"/>
    </xf>
    <xf numFmtId="0" fontId="1" fillId="6" borderId="28" xfId="0" applyFont="1" applyFill="1" applyBorder="1" applyAlignment="1">
      <alignment horizontal="center" vertical="center" shrinkToFit="1"/>
    </xf>
    <xf numFmtId="0" fontId="1" fillId="6" borderId="29" xfId="0" applyFont="1" applyFill="1" applyBorder="1" applyAlignment="1">
      <alignment horizontal="center" vertical="center" shrinkToFit="1"/>
    </xf>
    <xf numFmtId="0" fontId="1" fillId="6" borderId="30" xfId="0" applyFont="1" applyFill="1" applyBorder="1" applyAlignment="1">
      <alignment horizontal="center" vertical="center" shrinkToFit="1"/>
    </xf>
    <xf numFmtId="0" fontId="1" fillId="0" borderId="2" xfId="0" applyFont="1" applyBorder="1" applyAlignment="1">
      <alignment horizontal="center" shrinkToFit="1"/>
    </xf>
    <xf numFmtId="0" fontId="1" fillId="0" borderId="2" xfId="0" applyFont="1" applyBorder="1" applyAlignment="1">
      <alignment horizontal="center" vertical="center" shrinkToFit="1"/>
    </xf>
    <xf numFmtId="0" fontId="1" fillId="0" borderId="0" xfId="0" applyFont="1" applyAlignment="1">
      <alignment horizontal="center" shrinkToFit="1"/>
    </xf>
    <xf numFmtId="0" fontId="1" fillId="0" borderId="5" xfId="0" applyFont="1" applyBorder="1" applyAlignment="1">
      <alignment horizontal="center" vertical="center" shrinkToFit="1"/>
    </xf>
    <xf numFmtId="0" fontId="1" fillId="0" borderId="15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0" xfId="0" applyFont="1" applyAlignment="1">
      <alignment horizontal="center" vertical="center" shrinkToFit="1"/>
    </xf>
    <xf numFmtId="0" fontId="1" fillId="0" borderId="28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textRotation="180"/>
    </xf>
    <xf numFmtId="0" fontId="2" fillId="0" borderId="14" xfId="0" applyFont="1" applyBorder="1" applyAlignment="1">
      <alignment horizontal="center" vertical="center" textRotation="180"/>
    </xf>
    <xf numFmtId="0" fontId="1" fillId="2" borderId="2" xfId="0" applyFont="1" applyFill="1" applyBorder="1" applyAlignment="1">
      <alignment horizontal="center" vertical="center" shrinkToFit="1"/>
    </xf>
    <xf numFmtId="0" fontId="1" fillId="6" borderId="2" xfId="0" applyFont="1" applyFill="1" applyBorder="1" applyAlignment="1">
      <alignment horizontal="center" vertical="center" shrinkToFit="1"/>
    </xf>
    <xf numFmtId="0" fontId="2" fillId="6" borderId="13" xfId="0" applyFont="1" applyFill="1" applyBorder="1" applyAlignment="1">
      <alignment horizontal="center" vertical="center" textRotation="180"/>
    </xf>
    <xf numFmtId="0" fontId="2" fillId="6" borderId="14" xfId="0" applyFont="1" applyFill="1" applyBorder="1" applyAlignment="1">
      <alignment horizontal="center" vertical="center" textRotation="180"/>
    </xf>
    <xf numFmtId="0" fontId="1" fillId="0" borderId="26" xfId="0" applyFont="1" applyBorder="1" applyAlignment="1">
      <alignment horizontal="center" vertical="center" shrinkToFit="1"/>
    </xf>
    <xf numFmtId="0" fontId="1" fillId="0" borderId="27" xfId="0" applyFont="1" applyBorder="1" applyAlignment="1">
      <alignment horizontal="center" vertical="center" shrinkToFit="1"/>
    </xf>
    <xf numFmtId="0" fontId="1" fillId="0" borderId="11" xfId="0" applyFont="1" applyBorder="1" applyAlignment="1">
      <alignment horizontal="center" vertical="center" shrinkToFit="1"/>
    </xf>
    <xf numFmtId="0" fontId="1" fillId="0" borderId="29" xfId="0" applyFont="1" applyBorder="1" applyAlignment="1">
      <alignment horizontal="center" vertical="center" shrinkToFit="1"/>
    </xf>
    <xf numFmtId="0" fontId="1" fillId="0" borderId="30" xfId="0" applyFont="1" applyBorder="1" applyAlignment="1">
      <alignment horizontal="center" vertical="center" shrinkToFit="1"/>
    </xf>
    <xf numFmtId="0" fontId="1" fillId="4" borderId="26" xfId="0" applyFont="1" applyFill="1" applyBorder="1" applyAlignment="1">
      <alignment horizontal="center" vertical="center" shrinkToFit="1"/>
    </xf>
    <xf numFmtId="0" fontId="1" fillId="4" borderId="27" xfId="0" applyFont="1" applyFill="1" applyBorder="1" applyAlignment="1">
      <alignment horizontal="center" vertical="center" shrinkToFit="1"/>
    </xf>
    <xf numFmtId="0" fontId="1" fillId="4" borderId="11" xfId="0" applyFont="1" applyFill="1" applyBorder="1" applyAlignment="1">
      <alignment horizontal="center" vertical="center" shrinkToFit="1"/>
    </xf>
    <xf numFmtId="0" fontId="1" fillId="4" borderId="28" xfId="0" applyFont="1" applyFill="1" applyBorder="1" applyAlignment="1">
      <alignment horizontal="center" vertical="center" shrinkToFit="1"/>
    </xf>
    <xf numFmtId="0" fontId="1" fillId="4" borderId="29" xfId="0" applyFont="1" applyFill="1" applyBorder="1" applyAlignment="1">
      <alignment horizontal="center" vertical="center" shrinkToFit="1"/>
    </xf>
    <xf numFmtId="0" fontId="1" fillId="4" borderId="30" xfId="0" applyFont="1" applyFill="1" applyBorder="1" applyAlignment="1">
      <alignment horizontal="center" vertical="center" shrinkToFit="1"/>
    </xf>
    <xf numFmtId="0" fontId="1" fillId="6" borderId="13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textRotation="180"/>
    </xf>
    <xf numFmtId="0" fontId="2" fillId="0" borderId="6" xfId="0" applyFont="1" applyBorder="1" applyAlignment="1">
      <alignment horizontal="center" vertical="center" textRotation="180"/>
    </xf>
    <xf numFmtId="0" fontId="1" fillId="0" borderId="5" xfId="0" applyFont="1" applyBorder="1" applyAlignment="1">
      <alignment horizontal="center" vertical="center" textRotation="180" wrapText="1"/>
    </xf>
    <xf numFmtId="0" fontId="1" fillId="0" borderId="6" xfId="0" applyFont="1" applyBorder="1" applyAlignment="1">
      <alignment horizontal="center" vertical="center" textRotation="180" wrapText="1"/>
    </xf>
    <xf numFmtId="0" fontId="3" fillId="0" borderId="5" xfId="0" applyFont="1" applyBorder="1" applyAlignment="1">
      <alignment horizontal="center" vertical="center" textRotation="180"/>
    </xf>
    <xf numFmtId="0" fontId="3" fillId="0" borderId="6" xfId="0" applyFont="1" applyBorder="1" applyAlignment="1">
      <alignment horizontal="center" vertical="center" textRotation="180"/>
    </xf>
  </cellXfs>
  <cellStyles count="1">
    <cellStyle name="Normal" xfId="0" builtinId="0"/>
  </cellStyles>
  <dxfs count="51">
    <dxf>
      <font>
        <u val="none"/>
      </font>
      <fill>
        <patternFill>
          <bgColor rgb="FF21FF85"/>
        </patternFill>
      </fill>
    </dxf>
    <dxf>
      <fill>
        <patternFill>
          <bgColor rgb="FF9954CC"/>
        </patternFill>
      </fill>
    </dxf>
    <dxf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C459"/>
      <color rgb="FF00A84C"/>
      <color rgb="FF9954CC"/>
      <color rgb="FF9148C8"/>
      <color rgb="FF21FF85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590550</xdr:colOff>
          <xdr:row>2</xdr:row>
          <xdr:rowOff>66675</xdr:rowOff>
        </xdr:from>
        <xdr:to>
          <xdr:col>70</xdr:col>
          <xdr:colOff>571500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برنامه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A702D-7465-4ADE-B06E-5CFAD207995D}">
  <sheetPr codeName="Sheet2">
    <tabColor rgb="FF00B050"/>
  </sheetPr>
  <dimension ref="A1:CA88"/>
  <sheetViews>
    <sheetView rightToLeft="1" tabSelected="1" zoomScale="110" zoomScaleNormal="110" workbookViewId="0">
      <pane xSplit="42" ySplit="10" topLeftCell="AQ74" activePane="bottomRight" state="frozen"/>
      <selection pane="topRight" activeCell="AQ1" sqref="AQ1"/>
      <selection pane="bottomLeft" activeCell="A11" sqref="A11"/>
      <selection pane="bottomRight" activeCell="B85" sqref="B85"/>
    </sheetView>
  </sheetViews>
  <sheetFormatPr defaultRowHeight="15" x14ac:dyDescent="0.25"/>
  <cols>
    <col min="1" max="1" width="3.28515625" customWidth="1"/>
    <col min="3" max="3" width="3.7109375" bestFit="1" customWidth="1"/>
    <col min="4" max="6" width="2" bestFit="1" customWidth="1"/>
    <col min="7" max="7" width="2.140625" customWidth="1"/>
    <col min="8" max="37" width="2" bestFit="1" customWidth="1"/>
    <col min="38" max="39" width="2" style="24" bestFit="1" customWidth="1"/>
    <col min="40" max="47" width="2" bestFit="1" customWidth="1"/>
    <col min="48" max="53" width="2" style="24" bestFit="1" customWidth="1"/>
    <col min="54" max="65" width="2" bestFit="1" customWidth="1"/>
    <col min="66" max="66" width="2" style="24" bestFit="1" customWidth="1"/>
    <col min="67" max="67" width="2" style="24" customWidth="1"/>
    <col min="68" max="68" width="2" customWidth="1"/>
    <col min="69" max="69" width="2" bestFit="1" customWidth="1"/>
    <col min="71" max="71" width="10.140625" bestFit="1" customWidth="1"/>
  </cols>
  <sheetData>
    <row r="1" spans="1:79" ht="21.75" customHeight="1" x14ac:dyDescent="0.25"/>
    <row r="2" spans="1:79" x14ac:dyDescent="0.25">
      <c r="B2" t="s">
        <v>4</v>
      </c>
      <c r="D2">
        <f>D86</f>
        <v>0</v>
      </c>
      <c r="E2">
        <f>E86</f>
        <v>0</v>
      </c>
      <c r="F2">
        <f>F86</f>
        <v>5</v>
      </c>
      <c r="G2">
        <v>5</v>
      </c>
      <c r="H2">
        <f t="shared" ref="H2:BQ2" si="0">H86</f>
        <v>5</v>
      </c>
      <c r="I2">
        <v>5</v>
      </c>
      <c r="J2">
        <f t="shared" si="0"/>
        <v>5</v>
      </c>
      <c r="K2">
        <v>5</v>
      </c>
      <c r="L2">
        <f t="shared" si="0"/>
        <v>5</v>
      </c>
      <c r="M2">
        <v>5</v>
      </c>
      <c r="N2">
        <f t="shared" si="0"/>
        <v>5</v>
      </c>
      <c r="O2">
        <v>5</v>
      </c>
      <c r="P2">
        <f t="shared" si="0"/>
        <v>5</v>
      </c>
      <c r="Q2">
        <v>5</v>
      </c>
      <c r="R2">
        <f t="shared" si="0"/>
        <v>5</v>
      </c>
      <c r="S2">
        <v>5</v>
      </c>
      <c r="T2">
        <f t="shared" si="0"/>
        <v>5</v>
      </c>
      <c r="U2">
        <v>5</v>
      </c>
      <c r="V2">
        <f t="shared" si="0"/>
        <v>4</v>
      </c>
      <c r="W2">
        <v>5</v>
      </c>
      <c r="X2">
        <f t="shared" si="0"/>
        <v>4</v>
      </c>
      <c r="Y2">
        <v>5</v>
      </c>
      <c r="Z2">
        <f t="shared" si="0"/>
        <v>4</v>
      </c>
      <c r="AA2">
        <v>5</v>
      </c>
      <c r="AB2">
        <f t="shared" si="0"/>
        <v>5</v>
      </c>
      <c r="AC2">
        <v>5</v>
      </c>
      <c r="AD2">
        <f t="shared" si="0"/>
        <v>4</v>
      </c>
      <c r="AE2">
        <v>5</v>
      </c>
      <c r="AF2">
        <f t="shared" si="0"/>
        <v>5</v>
      </c>
      <c r="AG2">
        <v>5</v>
      </c>
      <c r="AH2">
        <f t="shared" si="0"/>
        <v>5</v>
      </c>
      <c r="AI2">
        <v>5</v>
      </c>
      <c r="AJ2">
        <f t="shared" si="0"/>
        <v>4</v>
      </c>
      <c r="AK2">
        <v>5</v>
      </c>
      <c r="AL2" s="24">
        <f t="shared" si="0"/>
        <v>4</v>
      </c>
      <c r="AM2" s="24">
        <v>5</v>
      </c>
      <c r="AN2">
        <f t="shared" si="0"/>
        <v>4</v>
      </c>
      <c r="AO2">
        <v>5</v>
      </c>
      <c r="AP2">
        <f t="shared" si="0"/>
        <v>5</v>
      </c>
      <c r="AQ2">
        <v>5</v>
      </c>
      <c r="AR2">
        <f t="shared" si="0"/>
        <v>5</v>
      </c>
      <c r="AS2">
        <v>5</v>
      </c>
      <c r="AT2">
        <f t="shared" si="0"/>
        <v>5</v>
      </c>
      <c r="AU2">
        <v>5</v>
      </c>
      <c r="AV2" s="24">
        <f t="shared" si="0"/>
        <v>3</v>
      </c>
      <c r="AW2" s="24">
        <v>5</v>
      </c>
      <c r="AX2" s="24">
        <f t="shared" si="0"/>
        <v>4</v>
      </c>
      <c r="AY2" s="24">
        <v>5</v>
      </c>
      <c r="AZ2" s="24">
        <f t="shared" si="0"/>
        <v>4</v>
      </c>
      <c r="BA2" s="24">
        <v>5</v>
      </c>
      <c r="BB2">
        <f t="shared" si="0"/>
        <v>5</v>
      </c>
      <c r="BC2">
        <v>5</v>
      </c>
      <c r="BD2">
        <f t="shared" si="0"/>
        <v>5</v>
      </c>
      <c r="BE2">
        <v>5</v>
      </c>
      <c r="BF2">
        <f t="shared" si="0"/>
        <v>4</v>
      </c>
      <c r="BG2">
        <v>5</v>
      </c>
      <c r="BH2">
        <f t="shared" si="0"/>
        <v>5</v>
      </c>
      <c r="BI2">
        <v>5</v>
      </c>
      <c r="BJ2">
        <f t="shared" si="0"/>
        <v>4</v>
      </c>
      <c r="BK2">
        <v>5</v>
      </c>
      <c r="BL2">
        <f t="shared" si="0"/>
        <v>4</v>
      </c>
      <c r="BM2">
        <v>5</v>
      </c>
      <c r="BN2" s="24">
        <f t="shared" ref="BN2" si="1">BN86</f>
        <v>5</v>
      </c>
      <c r="BO2" s="24">
        <v>5</v>
      </c>
      <c r="BP2">
        <f t="shared" si="0"/>
        <v>0</v>
      </c>
      <c r="BQ2">
        <f t="shared" si="0"/>
        <v>0</v>
      </c>
      <c r="BR2">
        <f t="shared" ref="BR2:BR3" si="2">SUM(BN2,BL2,BJ2,BH2,BF2,BD2,BB2,AZ2,AX2,AP2,AN2,AL2,AJ2,AH2,AF2,AD2,AB2,Z2,X2,V2,T2,R2,P2,N2,L2,J2,H2,F2,AR2,AT2,AV2)</f>
        <v>141</v>
      </c>
      <c r="BS2">
        <f>SUM(BN2:BN3,BL2:BL3,BJ2:BJ3,BH2:BH3,BF2:BF3,BD2:BD3,BB2:BB3,AZ2:AZ3,AX2:AX3,AP2:AP3,AN2:AN3,AL2:AL3,AJ2:AJ3,AH2:AH3,AF2:AF3,AD2:AD3,AB2:AB3,Z2:Z3,X2:X3,V2:V3,T2:T3,R2:R3,P2:P3,N2:N3,L2:L3,J2:J3,H2:H3,F2:F3,AR2:AR3,AT2:AT3,AV2:AV3)+SUM(BN4,BL4,BJ4,BH4,BF4,BD4,BB4,AZ4,AX4,AP4,AN4,AL4,AJ4,AH4,AF4,AD4,AB4,Z4,X4,V4,T4,R4,P4,N4,L4,J4,H4,F4,AR4,AT4,AV4)*2</f>
        <v>521</v>
      </c>
      <c r="BT2">
        <f>SUM(BO2:BO3,BM2:BM3,BK2:BK3,BI2:BI3,BG2:BG3,BE2:BE3,BC2:BC3,BA2:BA3,AY2:AY3,AQ2:AQ3,AO2:AO3,AM2:AM3,AK2:AK3,AI2:AI3,AG2:AG3,AE2:AE3,AC2:AC3,AA2:AA3,Y2:Y3,W2:W3,U2:U3,S2:S3,Q2:Q3,O2:O3,M2:M3,K2:K3,I2:I3,G2:G3,AS2:AS3,AU2:AU3,AW2:AW3)+SUM(BO4,BM4,BK4,BI4,BG4,BE4,BC4,BA4,AY4,AQ4,AO4,AM4,AK4,AI4,AG4,AE4,AC4,AA4,Y4,W4,U4,S4,Q4,O4,M4,K4,I4,G4,AS4,AU4,AW4)*2</f>
        <v>558</v>
      </c>
    </row>
    <row r="3" spans="1:79" x14ac:dyDescent="0.25">
      <c r="B3" t="s">
        <v>5</v>
      </c>
      <c r="D3">
        <f t="shared" ref="D3:P4" si="3">D87</f>
        <v>0</v>
      </c>
      <c r="E3">
        <f t="shared" si="3"/>
        <v>0</v>
      </c>
      <c r="F3">
        <f t="shared" si="3"/>
        <v>5</v>
      </c>
      <c r="G3">
        <v>5</v>
      </c>
      <c r="H3">
        <f t="shared" ref="H3" si="4">H87</f>
        <v>4</v>
      </c>
      <c r="I3">
        <v>5</v>
      </c>
      <c r="J3">
        <f t="shared" si="3"/>
        <v>5</v>
      </c>
      <c r="K3">
        <v>5</v>
      </c>
      <c r="L3">
        <f t="shared" si="3"/>
        <v>5</v>
      </c>
      <c r="M3">
        <v>5</v>
      </c>
      <c r="N3">
        <f>N87</f>
        <v>5</v>
      </c>
      <c r="O3">
        <v>5</v>
      </c>
      <c r="P3">
        <f t="shared" si="3"/>
        <v>5</v>
      </c>
      <c r="Q3">
        <v>5</v>
      </c>
      <c r="R3">
        <f t="shared" ref="R3" si="5">R87</f>
        <v>5</v>
      </c>
      <c r="S3">
        <v>5</v>
      </c>
      <c r="T3">
        <f t="shared" ref="T3:BQ3" si="6">T87</f>
        <v>4</v>
      </c>
      <c r="U3">
        <v>5</v>
      </c>
      <c r="V3">
        <f t="shared" si="6"/>
        <v>4</v>
      </c>
      <c r="W3">
        <v>5</v>
      </c>
      <c r="X3">
        <f t="shared" si="6"/>
        <v>4</v>
      </c>
      <c r="Y3">
        <v>5</v>
      </c>
      <c r="Z3">
        <f t="shared" si="6"/>
        <v>4</v>
      </c>
      <c r="AA3">
        <v>5</v>
      </c>
      <c r="AB3">
        <f t="shared" si="6"/>
        <v>4</v>
      </c>
      <c r="AC3">
        <v>5</v>
      </c>
      <c r="AD3">
        <f t="shared" ref="AD3" si="7">AD87</f>
        <v>4</v>
      </c>
      <c r="AE3">
        <v>5</v>
      </c>
      <c r="AF3">
        <f t="shared" si="6"/>
        <v>5</v>
      </c>
      <c r="AG3">
        <v>5</v>
      </c>
      <c r="AH3">
        <f t="shared" si="6"/>
        <v>5</v>
      </c>
      <c r="AI3">
        <v>5</v>
      </c>
      <c r="AJ3">
        <f t="shared" si="6"/>
        <v>4</v>
      </c>
      <c r="AK3">
        <v>5</v>
      </c>
      <c r="AL3" s="24">
        <f t="shared" si="6"/>
        <v>4</v>
      </c>
      <c r="AM3" s="24">
        <v>5</v>
      </c>
      <c r="AN3">
        <f t="shared" si="6"/>
        <v>4</v>
      </c>
      <c r="AO3">
        <v>5</v>
      </c>
      <c r="AP3">
        <f t="shared" si="6"/>
        <v>4</v>
      </c>
      <c r="AQ3">
        <v>5</v>
      </c>
      <c r="AR3">
        <f t="shared" si="6"/>
        <v>5</v>
      </c>
      <c r="AS3">
        <v>5</v>
      </c>
      <c r="AT3">
        <f t="shared" si="6"/>
        <v>5</v>
      </c>
      <c r="AU3">
        <v>5</v>
      </c>
      <c r="AV3" s="24">
        <f t="shared" si="6"/>
        <v>4</v>
      </c>
      <c r="AW3" s="24">
        <v>5</v>
      </c>
      <c r="AX3" s="24">
        <f t="shared" si="6"/>
        <v>5</v>
      </c>
      <c r="AY3" s="24">
        <v>5</v>
      </c>
      <c r="AZ3" s="24">
        <f t="shared" si="6"/>
        <v>4</v>
      </c>
      <c r="BA3" s="24">
        <v>5</v>
      </c>
      <c r="BB3">
        <f t="shared" si="6"/>
        <v>4</v>
      </c>
      <c r="BC3">
        <v>5</v>
      </c>
      <c r="BD3">
        <f t="shared" si="6"/>
        <v>5</v>
      </c>
      <c r="BE3">
        <v>5</v>
      </c>
      <c r="BF3">
        <f t="shared" si="6"/>
        <v>5</v>
      </c>
      <c r="BG3">
        <v>5</v>
      </c>
      <c r="BH3">
        <f t="shared" si="6"/>
        <v>4</v>
      </c>
      <c r="BI3">
        <v>5</v>
      </c>
      <c r="BJ3">
        <f t="shared" ref="BJ3" si="8">BJ87</f>
        <v>4</v>
      </c>
      <c r="BK3">
        <v>5</v>
      </c>
      <c r="BL3">
        <f t="shared" ref="BL3:BN3" si="9">BL87</f>
        <v>4</v>
      </c>
      <c r="BM3">
        <v>5</v>
      </c>
      <c r="BN3" s="24">
        <f t="shared" si="9"/>
        <v>5</v>
      </c>
      <c r="BO3" s="24">
        <v>5</v>
      </c>
      <c r="BP3">
        <f t="shared" si="6"/>
        <v>0</v>
      </c>
      <c r="BQ3">
        <f t="shared" si="6"/>
        <v>0</v>
      </c>
      <c r="BR3">
        <f t="shared" si="2"/>
        <v>138</v>
      </c>
    </row>
    <row r="4" spans="1:79" ht="15.75" thickBot="1" x14ac:dyDescent="0.3">
      <c r="B4" t="s">
        <v>6</v>
      </c>
      <c r="D4">
        <f t="shared" si="3"/>
        <v>0</v>
      </c>
      <c r="E4">
        <f t="shared" si="3"/>
        <v>0</v>
      </c>
      <c r="F4">
        <f t="shared" si="3"/>
        <v>4</v>
      </c>
      <c r="G4">
        <v>4</v>
      </c>
      <c r="H4">
        <f t="shared" ref="H4" si="10">H88</f>
        <v>4</v>
      </c>
      <c r="I4">
        <v>4</v>
      </c>
      <c r="J4">
        <f t="shared" si="3"/>
        <v>4</v>
      </c>
      <c r="K4">
        <v>4</v>
      </c>
      <c r="L4">
        <f t="shared" si="3"/>
        <v>4</v>
      </c>
      <c r="M4">
        <v>4</v>
      </c>
      <c r="N4">
        <f t="shared" si="3"/>
        <v>4</v>
      </c>
      <c r="O4">
        <v>4</v>
      </c>
      <c r="P4">
        <f t="shared" si="3"/>
        <v>4</v>
      </c>
      <c r="Q4">
        <v>4</v>
      </c>
      <c r="R4">
        <f t="shared" ref="R4" si="11">R88</f>
        <v>4</v>
      </c>
      <c r="S4">
        <v>4</v>
      </c>
      <c r="T4">
        <f t="shared" ref="T4:BQ4" si="12">T88</f>
        <v>4</v>
      </c>
      <c r="U4">
        <v>4</v>
      </c>
      <c r="V4">
        <f t="shared" si="12"/>
        <v>4</v>
      </c>
      <c r="W4">
        <v>4</v>
      </c>
      <c r="X4">
        <f t="shared" si="12"/>
        <v>4</v>
      </c>
      <c r="Y4">
        <v>4</v>
      </c>
      <c r="Z4">
        <f t="shared" si="12"/>
        <v>4</v>
      </c>
      <c r="AA4">
        <v>4</v>
      </c>
      <c r="AB4">
        <f t="shared" si="12"/>
        <v>4</v>
      </c>
      <c r="AC4">
        <v>4</v>
      </c>
      <c r="AD4">
        <f t="shared" ref="AD4" si="13">AD88</f>
        <v>4</v>
      </c>
      <c r="AE4">
        <v>4</v>
      </c>
      <c r="AF4">
        <f t="shared" si="12"/>
        <v>4</v>
      </c>
      <c r="AG4">
        <v>4</v>
      </c>
      <c r="AH4">
        <f t="shared" si="12"/>
        <v>4</v>
      </c>
      <c r="AI4">
        <v>4</v>
      </c>
      <c r="AJ4">
        <f t="shared" si="12"/>
        <v>4</v>
      </c>
      <c r="AK4">
        <v>4</v>
      </c>
      <c r="AL4" s="24">
        <f t="shared" si="12"/>
        <v>4</v>
      </c>
      <c r="AM4" s="24">
        <v>4</v>
      </c>
      <c r="AN4">
        <f t="shared" si="12"/>
        <v>4</v>
      </c>
      <c r="AO4">
        <v>4</v>
      </c>
      <c r="AP4">
        <f t="shared" si="12"/>
        <v>4</v>
      </c>
      <c r="AQ4">
        <v>4</v>
      </c>
      <c r="AR4">
        <f t="shared" si="12"/>
        <v>4</v>
      </c>
      <c r="AS4">
        <v>4</v>
      </c>
      <c r="AT4">
        <f t="shared" si="12"/>
        <v>4</v>
      </c>
      <c r="AU4">
        <v>4</v>
      </c>
      <c r="AV4" s="24">
        <f t="shared" si="12"/>
        <v>2</v>
      </c>
      <c r="AW4" s="24">
        <v>4</v>
      </c>
      <c r="AX4" s="24">
        <f t="shared" si="12"/>
        <v>4</v>
      </c>
      <c r="AY4" s="24">
        <v>4</v>
      </c>
      <c r="AZ4" s="24">
        <f t="shared" si="12"/>
        <v>3</v>
      </c>
      <c r="BA4" s="24">
        <v>4</v>
      </c>
      <c r="BB4">
        <f t="shared" si="12"/>
        <v>4</v>
      </c>
      <c r="BC4">
        <v>4</v>
      </c>
      <c r="BD4">
        <f t="shared" si="12"/>
        <v>4</v>
      </c>
      <c r="BE4">
        <v>4</v>
      </c>
      <c r="BF4">
        <f t="shared" si="12"/>
        <v>4</v>
      </c>
      <c r="BG4">
        <v>4</v>
      </c>
      <c r="BH4">
        <f t="shared" si="12"/>
        <v>4</v>
      </c>
      <c r="BI4">
        <v>4</v>
      </c>
      <c r="BJ4">
        <f t="shared" ref="BJ4" si="14">BJ88</f>
        <v>4</v>
      </c>
      <c r="BK4">
        <v>4</v>
      </c>
      <c r="BL4">
        <f t="shared" ref="BL4:BN4" si="15">BL88</f>
        <v>4</v>
      </c>
      <c r="BM4">
        <v>4</v>
      </c>
      <c r="BN4" s="24">
        <f t="shared" si="15"/>
        <v>4</v>
      </c>
      <c r="BO4" s="24">
        <v>4</v>
      </c>
      <c r="BP4">
        <f t="shared" si="12"/>
        <v>0</v>
      </c>
      <c r="BQ4">
        <f t="shared" si="12"/>
        <v>0</v>
      </c>
      <c r="BR4">
        <f>SUM(BN4,BL4,BJ4,BH4,BF4,BD4,BB4,AZ4,AX4,AP4,AN4,AL4,AJ4,AH4,AF4,AD4,AB4,Z4,X4,V4,T4,R4,P4,N4,L4,J4,H4,F4,AR4,AT4,AV4)</f>
        <v>121</v>
      </c>
    </row>
    <row r="5" spans="1:79" x14ac:dyDescent="0.25">
      <c r="A5" s="51" t="s">
        <v>0</v>
      </c>
      <c r="B5" s="53" t="s">
        <v>1</v>
      </c>
      <c r="C5" s="53" t="s">
        <v>2</v>
      </c>
      <c r="D5" s="49" t="s">
        <v>9</v>
      </c>
      <c r="E5" s="50"/>
      <c r="F5" s="49" t="s">
        <v>10</v>
      </c>
      <c r="G5" s="50"/>
      <c r="H5" s="49" t="s">
        <v>11</v>
      </c>
      <c r="I5" s="50"/>
      <c r="J5" s="59" t="s">
        <v>12</v>
      </c>
      <c r="K5" s="60"/>
      <c r="L5" s="59" t="s">
        <v>3</v>
      </c>
      <c r="M5" s="60"/>
      <c r="N5" s="59" t="s">
        <v>7</v>
      </c>
      <c r="O5" s="60"/>
      <c r="P5" s="59" t="s">
        <v>8</v>
      </c>
      <c r="Q5" s="60"/>
      <c r="R5" s="59" t="s">
        <v>9</v>
      </c>
      <c r="S5" s="60"/>
      <c r="T5" s="59" t="s">
        <v>10</v>
      </c>
      <c r="U5" s="60"/>
      <c r="V5" s="59" t="s">
        <v>11</v>
      </c>
      <c r="W5" s="60"/>
      <c r="X5" s="59" t="s">
        <v>12</v>
      </c>
      <c r="Y5" s="60"/>
      <c r="Z5" s="59" t="s">
        <v>3</v>
      </c>
      <c r="AA5" s="60"/>
      <c r="AB5" s="59" t="s">
        <v>7</v>
      </c>
      <c r="AC5" s="60"/>
      <c r="AD5" s="59" t="s">
        <v>8</v>
      </c>
      <c r="AE5" s="60"/>
      <c r="AF5" s="59" t="s">
        <v>9</v>
      </c>
      <c r="AG5" s="60"/>
      <c r="AH5" s="59" t="s">
        <v>10</v>
      </c>
      <c r="AI5" s="60"/>
      <c r="AJ5" s="59" t="s">
        <v>11</v>
      </c>
      <c r="AK5" s="60"/>
      <c r="AL5" s="65" t="s">
        <v>12</v>
      </c>
      <c r="AM5" s="66"/>
      <c r="AN5" s="59" t="s">
        <v>3</v>
      </c>
      <c r="AO5" s="60"/>
      <c r="AP5" s="59" t="s">
        <v>41</v>
      </c>
      <c r="AQ5" s="60"/>
      <c r="AR5" s="59" t="s">
        <v>8</v>
      </c>
      <c r="AS5" s="60"/>
      <c r="AT5" s="59" t="s">
        <v>9</v>
      </c>
      <c r="AU5" s="60"/>
      <c r="AV5" s="65" t="s">
        <v>10</v>
      </c>
      <c r="AW5" s="66"/>
      <c r="AX5" s="65" t="s">
        <v>11</v>
      </c>
      <c r="AY5" s="66"/>
      <c r="AZ5" s="65" t="s">
        <v>12</v>
      </c>
      <c r="BA5" s="66"/>
      <c r="BB5" s="59" t="s">
        <v>3</v>
      </c>
      <c r="BC5" s="60"/>
      <c r="BD5" s="59" t="s">
        <v>7</v>
      </c>
      <c r="BE5" s="60"/>
      <c r="BF5" s="59" t="s">
        <v>8</v>
      </c>
      <c r="BG5" s="60"/>
      <c r="BH5" s="59" t="s">
        <v>9</v>
      </c>
      <c r="BI5" s="60"/>
      <c r="BJ5" s="59" t="s">
        <v>10</v>
      </c>
      <c r="BK5" s="60"/>
      <c r="BL5" s="63" t="s">
        <v>11</v>
      </c>
      <c r="BM5" s="64"/>
      <c r="BN5" s="69" t="s">
        <v>12</v>
      </c>
      <c r="BO5" s="69"/>
      <c r="BP5" s="48" t="s">
        <v>3</v>
      </c>
      <c r="BQ5" s="48"/>
      <c r="BR5" s="57" t="s">
        <v>16</v>
      </c>
      <c r="BS5" s="57" t="s">
        <v>17</v>
      </c>
      <c r="BT5" s="57" t="s">
        <v>18</v>
      </c>
      <c r="BU5" s="57" t="s">
        <v>19</v>
      </c>
      <c r="BV5" s="57" t="s">
        <v>15</v>
      </c>
      <c r="BW5" s="57" t="s">
        <v>23</v>
      </c>
      <c r="BX5" s="57" t="s">
        <v>21</v>
      </c>
      <c r="BY5" s="57" t="s">
        <v>24</v>
      </c>
      <c r="BZ5" s="57" t="s">
        <v>22</v>
      </c>
      <c r="CA5" s="57" t="s">
        <v>20</v>
      </c>
    </row>
    <row r="6" spans="1:79" ht="15.75" thickBot="1" x14ac:dyDescent="0.3">
      <c r="A6" s="52"/>
      <c r="B6" s="54"/>
      <c r="C6" s="54"/>
      <c r="D6" s="55">
        <v>29</v>
      </c>
      <c r="E6" s="56"/>
      <c r="F6" s="55">
        <v>1</v>
      </c>
      <c r="G6" s="56"/>
      <c r="H6" s="55">
        <v>2</v>
      </c>
      <c r="I6" s="56"/>
      <c r="J6" s="61">
        <v>3</v>
      </c>
      <c r="K6" s="62"/>
      <c r="L6" s="61">
        <v>4</v>
      </c>
      <c r="M6" s="62"/>
      <c r="N6" s="61">
        <v>5</v>
      </c>
      <c r="O6" s="62"/>
      <c r="P6" s="61">
        <v>6</v>
      </c>
      <c r="Q6" s="62"/>
      <c r="R6" s="61">
        <v>7</v>
      </c>
      <c r="S6" s="62"/>
      <c r="T6" s="61">
        <v>8</v>
      </c>
      <c r="U6" s="62"/>
      <c r="V6" s="61">
        <v>9</v>
      </c>
      <c r="W6" s="62"/>
      <c r="X6" s="61">
        <v>10</v>
      </c>
      <c r="Y6" s="62"/>
      <c r="Z6" s="61">
        <v>11</v>
      </c>
      <c r="AA6" s="62"/>
      <c r="AB6" s="61">
        <v>12</v>
      </c>
      <c r="AC6" s="62"/>
      <c r="AD6" s="61">
        <v>13</v>
      </c>
      <c r="AE6" s="62"/>
      <c r="AF6" s="61">
        <v>14</v>
      </c>
      <c r="AG6" s="62"/>
      <c r="AH6" s="61">
        <v>15</v>
      </c>
      <c r="AI6" s="62"/>
      <c r="AJ6" s="61">
        <v>16</v>
      </c>
      <c r="AK6" s="62"/>
      <c r="AL6" s="67">
        <v>17</v>
      </c>
      <c r="AM6" s="68"/>
      <c r="AN6" s="61">
        <v>18</v>
      </c>
      <c r="AO6" s="62"/>
      <c r="AP6" s="61">
        <v>19</v>
      </c>
      <c r="AQ6" s="62"/>
      <c r="AR6" s="61">
        <v>20</v>
      </c>
      <c r="AS6" s="62"/>
      <c r="AT6" s="61">
        <v>21</v>
      </c>
      <c r="AU6" s="62"/>
      <c r="AV6" s="67">
        <v>22</v>
      </c>
      <c r="AW6" s="68"/>
      <c r="AX6" s="67">
        <v>23</v>
      </c>
      <c r="AY6" s="68"/>
      <c r="AZ6" s="67">
        <v>24</v>
      </c>
      <c r="BA6" s="68"/>
      <c r="BB6" s="61">
        <v>25</v>
      </c>
      <c r="BC6" s="62"/>
      <c r="BD6" s="61">
        <v>26</v>
      </c>
      <c r="BE6" s="62"/>
      <c r="BF6" s="61">
        <v>27</v>
      </c>
      <c r="BG6" s="62"/>
      <c r="BH6" s="61">
        <v>28</v>
      </c>
      <c r="BI6" s="62"/>
      <c r="BJ6" s="61">
        <v>29</v>
      </c>
      <c r="BK6" s="62"/>
      <c r="BL6" s="61">
        <v>30</v>
      </c>
      <c r="BM6" s="62"/>
      <c r="BN6" s="67">
        <v>31</v>
      </c>
      <c r="BO6" s="68"/>
      <c r="BP6" s="61">
        <v>32</v>
      </c>
      <c r="BQ6" s="62"/>
      <c r="BR6" s="58"/>
      <c r="BS6" s="58"/>
      <c r="BT6" s="58"/>
      <c r="BU6" s="58"/>
      <c r="BV6" s="58"/>
      <c r="BW6" s="58"/>
      <c r="BX6" s="58"/>
      <c r="BY6" s="58"/>
      <c r="BZ6" s="58"/>
      <c r="CA6" s="58"/>
    </row>
    <row r="7" spans="1:79" ht="16.5" thickTop="1" thickBot="1" x14ac:dyDescent="0.3">
      <c r="A7" t="s">
        <v>42</v>
      </c>
      <c r="B7" s="40" t="s">
        <v>50</v>
      </c>
      <c r="C7" s="22">
        <f>CA7</f>
        <v>4</v>
      </c>
      <c r="D7" s="22"/>
      <c r="E7" s="22"/>
      <c r="F7" s="22" t="s">
        <v>25</v>
      </c>
      <c r="G7" s="22" t="s">
        <v>25</v>
      </c>
      <c r="H7" s="22" t="s">
        <v>25</v>
      </c>
      <c r="I7" s="22" t="s">
        <v>25</v>
      </c>
      <c r="J7" s="22" t="s">
        <v>25</v>
      </c>
      <c r="K7" s="22" t="s">
        <v>25</v>
      </c>
      <c r="L7" s="22" t="s">
        <v>25</v>
      </c>
      <c r="M7" s="22" t="s">
        <v>25</v>
      </c>
      <c r="N7" s="22" t="s">
        <v>25</v>
      </c>
      <c r="O7" s="22" t="s">
        <v>25</v>
      </c>
      <c r="P7" s="22" t="s">
        <v>25</v>
      </c>
      <c r="Q7" s="22" t="s">
        <v>25</v>
      </c>
      <c r="R7" s="22">
        <v>1</v>
      </c>
      <c r="S7" s="22"/>
      <c r="T7" s="22">
        <v>1</v>
      </c>
      <c r="U7" s="22"/>
      <c r="V7" s="22">
        <v>1</v>
      </c>
      <c r="W7" s="22"/>
      <c r="X7" s="22"/>
      <c r="Y7" s="22"/>
      <c r="Z7" s="22"/>
      <c r="AA7" s="22"/>
      <c r="AB7" s="22">
        <v>1</v>
      </c>
      <c r="AC7" s="22"/>
      <c r="AD7" s="22" t="s">
        <v>25</v>
      </c>
      <c r="AE7" s="22" t="s">
        <v>25</v>
      </c>
      <c r="AF7" s="22"/>
      <c r="AG7" s="22"/>
      <c r="AH7" s="22"/>
      <c r="AI7" s="22"/>
      <c r="AJ7" s="22"/>
      <c r="AK7" s="22"/>
      <c r="AL7" s="25"/>
      <c r="AM7" s="25"/>
      <c r="AN7" s="22"/>
      <c r="AO7" s="22"/>
      <c r="AP7" s="22" t="s">
        <v>49</v>
      </c>
      <c r="AQ7" s="22"/>
      <c r="AR7" s="22"/>
      <c r="AS7" s="22"/>
      <c r="AT7" s="22"/>
      <c r="AU7" s="22"/>
      <c r="AV7" s="25" t="s">
        <v>25</v>
      </c>
      <c r="AW7" s="25" t="s">
        <v>25</v>
      </c>
      <c r="AX7" s="25" t="s">
        <v>25</v>
      </c>
      <c r="AY7" s="25" t="s">
        <v>25</v>
      </c>
      <c r="AZ7" s="25" t="s">
        <v>25</v>
      </c>
      <c r="BA7" s="25" t="s">
        <v>25</v>
      </c>
      <c r="BB7" s="22"/>
      <c r="BC7" s="22"/>
      <c r="BD7" s="22"/>
      <c r="BE7" s="22"/>
      <c r="BF7" s="22"/>
      <c r="BG7" s="22"/>
      <c r="BH7" s="22"/>
      <c r="BI7" s="22"/>
      <c r="BJ7" s="22" t="s">
        <v>25</v>
      </c>
      <c r="BK7" s="22" t="s">
        <v>25</v>
      </c>
      <c r="BL7" s="22"/>
      <c r="BM7" s="22"/>
      <c r="BN7" s="25"/>
      <c r="BO7" s="25"/>
      <c r="BP7" s="22"/>
      <c r="BQ7" s="22"/>
      <c r="BR7" s="4">
        <f>SUM(D7,H7,F7,J7,L7,N7,P7,R7,T7,V7,X7,Z7,AB7,AD7,AF7,AH7,AJ7,AL7,AN7,AP7,AR7,AT7,AV7,AX7,AZ7,BB7,BD7,BF7,BH7,BJ7,BL7,BN7)</f>
        <v>4</v>
      </c>
      <c r="BS7" s="36">
        <f>BR7+BR8+BR9*2</f>
        <v>24</v>
      </c>
      <c r="BT7" s="4">
        <f>SUM(BO7,BM7,BK7,BI7,BG7,BE7,BC7,BA7,AY7,AW7,AU7,AS7,AQ7,AO7,AM7,AK7,AI7,AG7,AE7,AC7,AA7,Y7,W7,U7,S7,Q7,O7,M7,K7,I7,G7)</f>
        <v>0</v>
      </c>
      <c r="BU7" s="36">
        <f>BT7+BT8+BT9*2</f>
        <v>0</v>
      </c>
      <c r="BV7" s="36">
        <f>SUM(BU7,BS7)</f>
        <v>24</v>
      </c>
      <c r="BW7" s="1">
        <f>SUM(AL7,AV7,AX7,AZ7,BN7)</f>
        <v>0</v>
      </c>
      <c r="BX7" s="34">
        <f>BW7+BW8+BW9*2</f>
        <v>4</v>
      </c>
      <c r="BY7" s="1">
        <f>SUM(AM7,AW7,AY7,BA7,BO7)</f>
        <v>0</v>
      </c>
      <c r="BZ7" s="34">
        <f>BY7+BY8+BY9*2</f>
        <v>0</v>
      </c>
      <c r="CA7" s="34">
        <f>SUM(BZ7,BX7)</f>
        <v>4</v>
      </c>
    </row>
    <row r="8" spans="1:79" ht="16.5" thickTop="1" thickBot="1" x14ac:dyDescent="0.3">
      <c r="A8" s="17">
        <v>5</v>
      </c>
      <c r="B8" s="41"/>
      <c r="C8" s="2">
        <f>BV7</f>
        <v>24</v>
      </c>
      <c r="D8" s="2"/>
      <c r="E8" s="2"/>
      <c r="F8" s="2" t="s">
        <v>25</v>
      </c>
      <c r="G8" s="2" t="s">
        <v>25</v>
      </c>
      <c r="H8" s="2" t="s">
        <v>25</v>
      </c>
      <c r="I8" s="2" t="s">
        <v>25</v>
      </c>
      <c r="J8" s="2" t="s">
        <v>25</v>
      </c>
      <c r="K8" s="2" t="s">
        <v>25</v>
      </c>
      <c r="L8" s="2" t="s">
        <v>25</v>
      </c>
      <c r="M8" s="2" t="s">
        <v>25</v>
      </c>
      <c r="N8" s="2" t="s">
        <v>25</v>
      </c>
      <c r="O8" s="2" t="s">
        <v>25</v>
      </c>
      <c r="P8" s="2" t="s">
        <v>25</v>
      </c>
      <c r="Q8" s="2" t="s">
        <v>25</v>
      </c>
      <c r="R8" s="2">
        <v>1</v>
      </c>
      <c r="S8" s="2"/>
      <c r="T8" s="2">
        <v>1</v>
      </c>
      <c r="U8" s="2"/>
      <c r="V8" s="2">
        <v>1</v>
      </c>
      <c r="W8" s="2"/>
      <c r="X8" s="2">
        <v>1</v>
      </c>
      <c r="Y8" s="2"/>
      <c r="Z8" s="2"/>
      <c r="AA8" s="2"/>
      <c r="AB8" s="2">
        <v>1</v>
      </c>
      <c r="AC8" s="2"/>
      <c r="AD8" s="2" t="s">
        <v>25</v>
      </c>
      <c r="AE8" s="2" t="s">
        <v>25</v>
      </c>
      <c r="AF8" s="2"/>
      <c r="AG8" s="2"/>
      <c r="AH8" s="2"/>
      <c r="AI8" s="2"/>
      <c r="AJ8" s="2"/>
      <c r="AK8" s="2"/>
      <c r="AL8" s="26"/>
      <c r="AM8" s="26"/>
      <c r="AN8" s="2">
        <v>1</v>
      </c>
      <c r="AO8" s="2"/>
      <c r="AP8" s="2"/>
      <c r="AQ8" s="2"/>
      <c r="AR8" s="2"/>
      <c r="AS8" s="2"/>
      <c r="AT8" s="2">
        <v>1</v>
      </c>
      <c r="AU8" s="2"/>
      <c r="AV8" s="26" t="s">
        <v>25</v>
      </c>
      <c r="AW8" s="26" t="s">
        <v>25</v>
      </c>
      <c r="AX8" s="26" t="s">
        <v>25</v>
      </c>
      <c r="AY8" s="26" t="s">
        <v>25</v>
      </c>
      <c r="AZ8" s="26">
        <v>1</v>
      </c>
      <c r="BA8" s="26" t="s">
        <v>25</v>
      </c>
      <c r="BB8" s="2"/>
      <c r="BC8" s="2"/>
      <c r="BD8" s="2"/>
      <c r="BE8" s="2"/>
      <c r="BF8" s="2">
        <v>1</v>
      </c>
      <c r="BG8" s="2"/>
      <c r="BH8" s="2"/>
      <c r="BI8" s="2"/>
      <c r="BJ8" s="2" t="s">
        <v>25</v>
      </c>
      <c r="BK8" s="2" t="s">
        <v>25</v>
      </c>
      <c r="BL8" s="2"/>
      <c r="BM8" s="2"/>
      <c r="BN8" s="26">
        <v>1</v>
      </c>
      <c r="BO8" s="26"/>
      <c r="BP8" s="2"/>
      <c r="BQ8" s="2"/>
      <c r="BR8" s="4">
        <f t="shared" ref="BR8:BR71" si="16">SUM(D8,H8,F8,J8,L8,N8,P8,R8,T8,V8,X8,Z8,AB8,AD8,AF8,AH8,AJ8,AL8,AN8,AP8,AR8,AT8,AV8,AX8,AZ8,BB8,BD8,BF8,BH8,BJ8,BL8,BN8)</f>
        <v>10</v>
      </c>
      <c r="BS8" s="34"/>
      <c r="BT8" s="4">
        <f t="shared" ref="BT8:BT71" si="17">SUM(BO8,BM8,BK8,BI8,BG8,BE8,BC8,BA8,AY8,AW8,AU8,AS8,AQ8,AO8,AM8,AK8,AI8,AG8,AE8,AC8,AA8,Y8,W8,U8,S8,Q8,O8,M8,K8,I8,G8)</f>
        <v>0</v>
      </c>
      <c r="BU8" s="34"/>
      <c r="BV8" s="34"/>
      <c r="BW8" s="1">
        <f>SUM(AL8,AV8,AX8,AZ8,BN8)</f>
        <v>2</v>
      </c>
      <c r="BX8" s="34"/>
      <c r="BY8" s="1">
        <f t="shared" ref="BY8:BY71" si="18">SUM(BK8,BC8,AO8,AA8,Q8,M8)</f>
        <v>0</v>
      </c>
      <c r="BZ8" s="34"/>
      <c r="CA8" s="34"/>
    </row>
    <row r="9" spans="1:79" ht="16.5" thickTop="1" thickBot="1" x14ac:dyDescent="0.3">
      <c r="A9" s="16">
        <f t="shared" ref="A9:A69" si="19">BR9</f>
        <v>5</v>
      </c>
      <c r="B9" s="42"/>
      <c r="C9" s="23">
        <v>24</v>
      </c>
      <c r="D9" s="23"/>
      <c r="E9" s="23"/>
      <c r="F9" s="2" t="s">
        <v>25</v>
      </c>
      <c r="G9" s="2" t="s">
        <v>25</v>
      </c>
      <c r="H9" s="2" t="s">
        <v>25</v>
      </c>
      <c r="I9" s="2" t="s">
        <v>25</v>
      </c>
      <c r="J9" s="2" t="s">
        <v>25</v>
      </c>
      <c r="K9" s="2" t="s">
        <v>25</v>
      </c>
      <c r="L9" s="2" t="s">
        <v>25</v>
      </c>
      <c r="M9" s="2" t="s">
        <v>25</v>
      </c>
      <c r="N9" s="2" t="s">
        <v>25</v>
      </c>
      <c r="O9" s="2" t="s">
        <v>25</v>
      </c>
      <c r="P9" s="2" t="s">
        <v>25</v>
      </c>
      <c r="Q9" s="2" t="s">
        <v>25</v>
      </c>
      <c r="R9" s="2"/>
      <c r="S9" s="2"/>
      <c r="T9" s="2"/>
      <c r="U9" s="2"/>
      <c r="V9" s="2"/>
      <c r="W9" s="2"/>
      <c r="X9" s="2">
        <v>1</v>
      </c>
      <c r="Y9" s="2"/>
      <c r="Z9" s="2"/>
      <c r="AA9" s="2"/>
      <c r="AB9" s="2"/>
      <c r="AC9" s="2"/>
      <c r="AD9" s="2" t="s">
        <v>25</v>
      </c>
      <c r="AE9" s="2" t="s">
        <v>25</v>
      </c>
      <c r="AF9" s="2">
        <v>1</v>
      </c>
      <c r="AG9" s="2"/>
      <c r="AH9" s="2"/>
      <c r="AI9" s="2"/>
      <c r="AJ9" s="2">
        <v>1</v>
      </c>
      <c r="AK9" s="2"/>
      <c r="AL9" s="26"/>
      <c r="AM9" s="26"/>
      <c r="AN9" s="2"/>
      <c r="AO9" s="2"/>
      <c r="AP9" s="2"/>
      <c r="AQ9" s="2"/>
      <c r="AR9" s="2"/>
      <c r="AS9" s="2"/>
      <c r="AT9" s="2">
        <v>1</v>
      </c>
      <c r="AU9" s="2"/>
      <c r="AV9" s="26" t="s">
        <v>25</v>
      </c>
      <c r="AW9" s="26" t="s">
        <v>25</v>
      </c>
      <c r="AX9" s="26" t="s">
        <v>25</v>
      </c>
      <c r="AY9" s="26" t="s">
        <v>25</v>
      </c>
      <c r="AZ9" s="26" t="s">
        <v>25</v>
      </c>
      <c r="BA9" s="26" t="s">
        <v>25</v>
      </c>
      <c r="BB9" s="2"/>
      <c r="BC9" s="2"/>
      <c r="BD9" s="2"/>
      <c r="BE9" s="2"/>
      <c r="BF9" s="2"/>
      <c r="BG9" s="2"/>
      <c r="BH9" s="2"/>
      <c r="BI9" s="2"/>
      <c r="BJ9" s="2" t="s">
        <v>25</v>
      </c>
      <c r="BK9" s="2" t="s">
        <v>25</v>
      </c>
      <c r="BL9" s="2"/>
      <c r="BM9" s="2"/>
      <c r="BN9" s="26">
        <v>1</v>
      </c>
      <c r="BO9" s="26"/>
      <c r="BP9" s="2"/>
      <c r="BQ9" s="2"/>
      <c r="BR9" s="4">
        <f t="shared" si="16"/>
        <v>5</v>
      </c>
      <c r="BS9" s="35"/>
      <c r="BT9" s="4">
        <f t="shared" si="17"/>
        <v>0</v>
      </c>
      <c r="BU9" s="35"/>
      <c r="BV9" s="35"/>
      <c r="BW9" s="1">
        <f t="shared" ref="BW9:BW71" si="20">SUM(AL9,AV9,AX9,AZ9,BN9)</f>
        <v>1</v>
      </c>
      <c r="BX9" s="35"/>
      <c r="BY9" s="1">
        <f t="shared" si="18"/>
        <v>0</v>
      </c>
      <c r="BZ9" s="35"/>
      <c r="CA9" s="35"/>
    </row>
    <row r="10" spans="1:79" ht="16.5" thickTop="1" thickBot="1" x14ac:dyDescent="0.3">
      <c r="A10" s="8" t="s">
        <v>39</v>
      </c>
      <c r="B10" s="40" t="s">
        <v>13</v>
      </c>
      <c r="C10" s="3">
        <f t="shared" ref="C10:C70" si="21">CA10</f>
        <v>0</v>
      </c>
      <c r="D10" s="3"/>
      <c r="E10" s="3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5"/>
      <c r="AM10" s="25"/>
      <c r="AN10" s="22"/>
      <c r="AO10" s="22"/>
      <c r="AP10" s="22"/>
      <c r="AQ10" s="22"/>
      <c r="AR10" s="22"/>
      <c r="AS10" s="22"/>
      <c r="AT10" s="22"/>
      <c r="AU10" s="22"/>
      <c r="AV10" s="25"/>
      <c r="AW10" s="25"/>
      <c r="AX10" s="25"/>
      <c r="AY10" s="25"/>
      <c r="AZ10" s="25"/>
      <c r="BA10" s="25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5"/>
      <c r="BO10" s="25"/>
      <c r="BP10" s="22"/>
      <c r="BQ10" s="22"/>
      <c r="BR10" s="4">
        <f>SUM(D10,H10,F10,J10,L10,N10,P10,R10,T10,V10,X10,Z10,AB10,AD10,AF10,AH10,AJ10,AL10,AN10,AP10,AR10,AT10,AV10,AX10,AZ10,BB10,BD10,BF10,BH10,BJ10,BL10,BN10)</f>
        <v>0</v>
      </c>
      <c r="BS10" s="36">
        <f t="shared" ref="BS10" si="22">BR10+BR11+BR12*2</f>
        <v>2</v>
      </c>
      <c r="BT10" s="4">
        <f t="shared" si="17"/>
        <v>0</v>
      </c>
      <c r="BU10" s="36">
        <f t="shared" ref="BU10" si="23">BT10+BT11+BT12*2</f>
        <v>0</v>
      </c>
      <c r="BV10" s="34">
        <f>SUM(BU10,BS10)</f>
        <v>2</v>
      </c>
      <c r="BW10" s="1">
        <f t="shared" si="20"/>
        <v>0</v>
      </c>
      <c r="BX10" s="34">
        <f t="shared" ref="BX10" si="24">BW10+BW11+BW12*2</f>
        <v>0</v>
      </c>
      <c r="BY10" s="1">
        <f t="shared" si="18"/>
        <v>0</v>
      </c>
      <c r="BZ10" s="34">
        <f t="shared" ref="BZ10" si="25">BY10+BY11+BY12*2</f>
        <v>0</v>
      </c>
      <c r="CA10" s="34">
        <f>SUM(BZ10,BX10)</f>
        <v>0</v>
      </c>
    </row>
    <row r="11" spans="1:79" ht="16.5" thickTop="1" thickBot="1" x14ac:dyDescent="0.3">
      <c r="A11" s="13">
        <v>2</v>
      </c>
      <c r="B11" s="41"/>
      <c r="C11" s="2">
        <f>BV10</f>
        <v>2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6"/>
      <c r="AM11" s="26"/>
      <c r="AN11" s="2"/>
      <c r="AO11" s="2"/>
      <c r="AP11" s="2"/>
      <c r="AQ11" s="2"/>
      <c r="AR11" s="2"/>
      <c r="AS11" s="2"/>
      <c r="AT11" s="2"/>
      <c r="AU11" s="2"/>
      <c r="AV11" s="26"/>
      <c r="AW11" s="26"/>
      <c r="AX11" s="26"/>
      <c r="AY11" s="26"/>
      <c r="AZ11" s="26"/>
      <c r="BA11" s="26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6"/>
      <c r="BO11" s="26"/>
      <c r="BP11" s="2"/>
      <c r="BQ11" s="2"/>
      <c r="BR11" s="4">
        <f t="shared" si="16"/>
        <v>0</v>
      </c>
      <c r="BS11" s="34"/>
      <c r="BT11" s="4">
        <f t="shared" si="17"/>
        <v>0</v>
      </c>
      <c r="BU11" s="34"/>
      <c r="BV11" s="34"/>
      <c r="BW11" s="1">
        <f t="shared" si="20"/>
        <v>0</v>
      </c>
      <c r="BX11" s="34"/>
      <c r="BY11" s="1">
        <f t="shared" si="18"/>
        <v>0</v>
      </c>
      <c r="BZ11" s="34"/>
      <c r="CA11" s="34"/>
    </row>
    <row r="12" spans="1:79" ht="16.5" thickTop="1" thickBot="1" x14ac:dyDescent="0.3">
      <c r="A12" s="16">
        <f t="shared" si="19"/>
        <v>1</v>
      </c>
      <c r="B12" s="42"/>
      <c r="C12" s="23">
        <v>4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>
        <v>1</v>
      </c>
      <c r="AC12" s="23"/>
      <c r="AD12" s="23"/>
      <c r="AE12" s="23"/>
      <c r="AF12" s="23"/>
      <c r="AG12" s="23"/>
      <c r="AH12" s="23"/>
      <c r="AI12" s="23"/>
      <c r="AJ12" s="23"/>
      <c r="AK12" s="23"/>
      <c r="AL12" s="27"/>
      <c r="AM12" s="27"/>
      <c r="AN12" s="23"/>
      <c r="AO12" s="23"/>
      <c r="AP12" s="23"/>
      <c r="AQ12" s="23"/>
      <c r="AR12" s="23"/>
      <c r="AS12" s="23"/>
      <c r="AT12" s="23"/>
      <c r="AU12" s="23"/>
      <c r="AV12" s="27"/>
      <c r="AW12" s="27"/>
      <c r="AX12" s="27"/>
      <c r="AY12" s="27"/>
      <c r="AZ12" s="27"/>
      <c r="BA12" s="27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7"/>
      <c r="BO12" s="27"/>
      <c r="BP12" s="23"/>
      <c r="BQ12" s="23"/>
      <c r="BR12" s="4">
        <f t="shared" si="16"/>
        <v>1</v>
      </c>
      <c r="BS12" s="35"/>
      <c r="BT12" s="4">
        <f t="shared" si="17"/>
        <v>0</v>
      </c>
      <c r="BU12" s="35"/>
      <c r="BV12" s="35"/>
      <c r="BW12" s="1">
        <f t="shared" si="20"/>
        <v>0</v>
      </c>
      <c r="BX12" s="35"/>
      <c r="BY12" s="1">
        <f t="shared" si="18"/>
        <v>0</v>
      </c>
      <c r="BZ12" s="35"/>
      <c r="CA12" s="35"/>
    </row>
    <row r="13" spans="1:79" ht="16.5" thickTop="1" thickBot="1" x14ac:dyDescent="0.3">
      <c r="A13" s="13" t="s">
        <v>43</v>
      </c>
      <c r="B13" s="40" t="s">
        <v>51</v>
      </c>
      <c r="C13" s="3">
        <f t="shared" si="21"/>
        <v>5</v>
      </c>
      <c r="D13" s="3"/>
      <c r="E13" s="3"/>
      <c r="F13" s="22" t="s">
        <v>25</v>
      </c>
      <c r="G13" s="22" t="s">
        <v>25</v>
      </c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3"/>
      <c r="S13" s="3"/>
      <c r="T13" s="3">
        <v>1</v>
      </c>
      <c r="U13" s="3"/>
      <c r="V13" s="3"/>
      <c r="W13" s="3"/>
      <c r="X13" s="3"/>
      <c r="Y13" s="3"/>
      <c r="Z13" s="3"/>
      <c r="AA13" s="3"/>
      <c r="AB13" s="3"/>
      <c r="AC13" s="3"/>
      <c r="AD13" s="3" t="s">
        <v>25</v>
      </c>
      <c r="AE13" s="3" t="s">
        <v>25</v>
      </c>
      <c r="AF13" s="3">
        <v>1</v>
      </c>
      <c r="AG13" s="3"/>
      <c r="AH13" s="3"/>
      <c r="AI13" s="3"/>
      <c r="AJ13" s="3"/>
      <c r="AK13" s="3"/>
      <c r="AL13" s="28"/>
      <c r="AM13" s="28"/>
      <c r="AN13" s="3"/>
      <c r="AO13" s="3"/>
      <c r="AP13" s="3"/>
      <c r="AQ13" s="3"/>
      <c r="AR13" s="3">
        <v>1</v>
      </c>
      <c r="AS13" s="3"/>
      <c r="AT13" s="3"/>
      <c r="AU13" s="3"/>
      <c r="AV13" s="28">
        <v>1</v>
      </c>
      <c r="AW13" s="28"/>
      <c r="AX13" s="28"/>
      <c r="AY13" s="28"/>
      <c r="AZ13" s="28" t="s">
        <v>25</v>
      </c>
      <c r="BA13" s="28" t="s">
        <v>25</v>
      </c>
      <c r="BB13" s="3" t="s">
        <v>25</v>
      </c>
      <c r="BC13" s="3" t="s">
        <v>25</v>
      </c>
      <c r="BD13" s="3" t="s">
        <v>25</v>
      </c>
      <c r="BE13" s="3" t="s">
        <v>25</v>
      </c>
      <c r="BF13" s="3" t="s">
        <v>25</v>
      </c>
      <c r="BG13" s="3" t="s">
        <v>25</v>
      </c>
      <c r="BH13" s="3">
        <v>1</v>
      </c>
      <c r="BI13" s="3"/>
      <c r="BJ13" s="3"/>
      <c r="BK13" s="3"/>
      <c r="BL13" s="3">
        <v>1</v>
      </c>
      <c r="BM13" s="3"/>
      <c r="BN13" s="28"/>
      <c r="BO13" s="28"/>
      <c r="BP13" s="3"/>
      <c r="BQ13" s="3"/>
      <c r="BR13" s="4">
        <f>SUM(D13,H13,F13,J13,L13,N13,P13,R13,T13,V13,X13,Z13,AB13,AD13,AF13,AH13,AJ13,AL13,AN13,AP13,AR13,AT13,AV13,AX13,AZ13,BB13,BD13,BF13,BH13,BJ13,BL13,BN13)</f>
        <v>6</v>
      </c>
      <c r="BS13" s="36">
        <f t="shared" ref="BS13" si="26">BR13+BR14+BR15*2</f>
        <v>22</v>
      </c>
      <c r="BT13" s="4">
        <f t="shared" si="17"/>
        <v>0</v>
      </c>
      <c r="BU13" s="36">
        <f t="shared" ref="BU13" si="27">BT13+BT14+BT15*2</f>
        <v>0</v>
      </c>
      <c r="BV13" s="34">
        <f>SUM(BU13,BS13)</f>
        <v>22</v>
      </c>
      <c r="BW13" s="1">
        <f t="shared" si="20"/>
        <v>1</v>
      </c>
      <c r="BX13" s="34">
        <f t="shared" ref="BX13" si="28">BW13+BW14+BW15*2</f>
        <v>5</v>
      </c>
      <c r="BY13" s="1">
        <f t="shared" si="18"/>
        <v>0</v>
      </c>
      <c r="BZ13" s="34">
        <f t="shared" ref="BZ13" si="29">BY13+BY14+BY15*2</f>
        <v>0</v>
      </c>
      <c r="CA13" s="34">
        <f>SUM(BZ13,BX13)</f>
        <v>5</v>
      </c>
    </row>
    <row r="14" spans="1:79" ht="16.5" thickTop="1" thickBot="1" x14ac:dyDescent="0.3">
      <c r="A14" s="13">
        <v>6</v>
      </c>
      <c r="B14" s="41"/>
      <c r="C14" s="2">
        <f>BV13</f>
        <v>22</v>
      </c>
      <c r="D14" s="2"/>
      <c r="E14" s="2"/>
      <c r="F14" s="2" t="s">
        <v>25</v>
      </c>
      <c r="G14" s="2" t="s">
        <v>25</v>
      </c>
      <c r="H14" s="2">
        <v>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 t="s">
        <v>25</v>
      </c>
      <c r="AE14" s="2" t="s">
        <v>25</v>
      </c>
      <c r="AF14" s="2">
        <v>1</v>
      </c>
      <c r="AG14" s="2"/>
      <c r="AH14" s="2"/>
      <c r="AI14" s="2"/>
      <c r="AJ14" s="2"/>
      <c r="AK14" s="2"/>
      <c r="AL14" s="26">
        <v>1</v>
      </c>
      <c r="AM14" s="26"/>
      <c r="AN14" s="2"/>
      <c r="AO14" s="2"/>
      <c r="AP14" s="2"/>
      <c r="AQ14" s="2"/>
      <c r="AR14" s="2">
        <v>1</v>
      </c>
      <c r="AS14" s="2"/>
      <c r="AT14" s="2"/>
      <c r="AU14" s="2"/>
      <c r="AV14" s="26">
        <v>1</v>
      </c>
      <c r="AW14" s="26"/>
      <c r="AX14" s="26"/>
      <c r="AY14" s="26"/>
      <c r="AZ14" s="26" t="s">
        <v>25</v>
      </c>
      <c r="BA14" s="26" t="s">
        <v>25</v>
      </c>
      <c r="BB14" s="2" t="s">
        <v>25</v>
      </c>
      <c r="BC14" s="2" t="s">
        <v>25</v>
      </c>
      <c r="BD14" s="2" t="s">
        <v>25</v>
      </c>
      <c r="BE14" s="2" t="s">
        <v>25</v>
      </c>
      <c r="BF14" s="2" t="s">
        <v>25</v>
      </c>
      <c r="BG14" s="2" t="s">
        <v>25</v>
      </c>
      <c r="BH14" s="2">
        <v>1</v>
      </c>
      <c r="BI14" s="2"/>
      <c r="BJ14" s="2"/>
      <c r="BK14" s="2"/>
      <c r="BL14" s="2"/>
      <c r="BM14" s="2"/>
      <c r="BN14" s="26"/>
      <c r="BO14" s="26"/>
      <c r="BP14" s="2"/>
      <c r="BQ14" s="2"/>
      <c r="BR14" s="4">
        <f t="shared" si="16"/>
        <v>6</v>
      </c>
      <c r="BS14" s="34"/>
      <c r="BT14" s="4">
        <f t="shared" si="17"/>
        <v>0</v>
      </c>
      <c r="BU14" s="34"/>
      <c r="BV14" s="34"/>
      <c r="BW14" s="1">
        <f t="shared" si="20"/>
        <v>2</v>
      </c>
      <c r="BX14" s="34"/>
      <c r="BY14" s="1">
        <f t="shared" si="18"/>
        <v>0</v>
      </c>
      <c r="BZ14" s="34"/>
      <c r="CA14" s="34"/>
    </row>
    <row r="15" spans="1:79" ht="16.5" thickTop="1" thickBot="1" x14ac:dyDescent="0.3">
      <c r="A15" s="16">
        <f t="shared" si="19"/>
        <v>5</v>
      </c>
      <c r="B15" s="42"/>
      <c r="C15" s="23">
        <v>24</v>
      </c>
      <c r="D15" s="23"/>
      <c r="E15" s="23"/>
      <c r="F15" s="2" t="s">
        <v>25</v>
      </c>
      <c r="G15" s="2" t="s">
        <v>25</v>
      </c>
      <c r="H15" s="2">
        <v>1</v>
      </c>
      <c r="I15" s="2"/>
      <c r="J15" s="2"/>
      <c r="K15" s="2"/>
      <c r="L15" s="2"/>
      <c r="M15" s="2"/>
      <c r="N15" s="2">
        <v>1</v>
      </c>
      <c r="O15" s="2"/>
      <c r="P15" s="2"/>
      <c r="Q15" s="2"/>
      <c r="R15" s="2"/>
      <c r="S15" s="2"/>
      <c r="T15" s="23">
        <v>1</v>
      </c>
      <c r="U15" s="23"/>
      <c r="V15" s="23"/>
      <c r="W15" s="23"/>
      <c r="X15" s="23"/>
      <c r="Y15" s="23"/>
      <c r="Z15" s="23"/>
      <c r="AA15" s="23"/>
      <c r="AB15" s="23"/>
      <c r="AC15" s="23"/>
      <c r="AD15" s="23" t="s">
        <v>25</v>
      </c>
      <c r="AE15" s="23" t="s">
        <v>25</v>
      </c>
      <c r="AF15" s="23"/>
      <c r="AG15" s="23"/>
      <c r="AH15" s="23"/>
      <c r="AI15" s="23"/>
      <c r="AJ15" s="23"/>
      <c r="AK15" s="23"/>
      <c r="AL15" s="27">
        <v>1</v>
      </c>
      <c r="AM15" s="27"/>
      <c r="AN15" s="23"/>
      <c r="AO15" s="23"/>
      <c r="AP15" s="23"/>
      <c r="AQ15" s="23"/>
      <c r="AR15" s="23"/>
      <c r="AS15" s="23"/>
      <c r="AT15" s="23"/>
      <c r="AU15" s="23"/>
      <c r="AV15" s="27"/>
      <c r="AW15" s="27"/>
      <c r="AX15" s="27"/>
      <c r="AY15" s="27"/>
      <c r="AZ15" s="27" t="s">
        <v>25</v>
      </c>
      <c r="BA15" s="27" t="s">
        <v>25</v>
      </c>
      <c r="BB15" s="23" t="s">
        <v>25</v>
      </c>
      <c r="BC15" s="23" t="s">
        <v>25</v>
      </c>
      <c r="BD15" s="23" t="s">
        <v>25</v>
      </c>
      <c r="BE15" s="23" t="s">
        <v>25</v>
      </c>
      <c r="BF15" s="23" t="s">
        <v>25</v>
      </c>
      <c r="BG15" s="23" t="s">
        <v>25</v>
      </c>
      <c r="BH15" s="23"/>
      <c r="BI15" s="23"/>
      <c r="BJ15" s="23"/>
      <c r="BK15" s="23"/>
      <c r="BL15" s="23">
        <v>1</v>
      </c>
      <c r="BM15" s="23"/>
      <c r="BN15" s="27"/>
      <c r="BO15" s="27"/>
      <c r="BP15" s="23"/>
      <c r="BQ15" s="23"/>
      <c r="BR15" s="4">
        <f t="shared" si="16"/>
        <v>5</v>
      </c>
      <c r="BS15" s="35"/>
      <c r="BT15" s="4">
        <f t="shared" si="17"/>
        <v>0</v>
      </c>
      <c r="BU15" s="35"/>
      <c r="BV15" s="35"/>
      <c r="BW15" s="1">
        <f t="shared" si="20"/>
        <v>1</v>
      </c>
      <c r="BX15" s="35"/>
      <c r="BY15" s="1">
        <f t="shared" si="18"/>
        <v>0</v>
      </c>
      <c r="BZ15" s="35"/>
      <c r="CA15" s="35"/>
    </row>
    <row r="16" spans="1:79" ht="16.5" thickTop="1" thickBot="1" x14ac:dyDescent="0.3">
      <c r="A16" s="15" t="s">
        <v>35</v>
      </c>
      <c r="B16" s="41" t="s">
        <v>52</v>
      </c>
      <c r="C16" s="3">
        <f t="shared" si="21"/>
        <v>1</v>
      </c>
      <c r="D16" s="3"/>
      <c r="E16" s="3"/>
      <c r="F16" s="22">
        <v>1</v>
      </c>
      <c r="G16" s="22"/>
      <c r="H16" s="22">
        <v>1</v>
      </c>
      <c r="I16" s="22"/>
      <c r="J16" s="22">
        <v>1</v>
      </c>
      <c r="K16" s="22"/>
      <c r="L16" s="22">
        <v>1</v>
      </c>
      <c r="M16" s="22"/>
      <c r="N16" s="22"/>
      <c r="O16" s="22"/>
      <c r="P16" s="22">
        <v>1</v>
      </c>
      <c r="Q16" s="22"/>
      <c r="R16" s="22">
        <v>1</v>
      </c>
      <c r="S16" s="22"/>
      <c r="T16" s="22">
        <v>1</v>
      </c>
      <c r="U16" s="22"/>
      <c r="V16" s="22">
        <v>1</v>
      </c>
      <c r="W16" s="3"/>
      <c r="X16" s="3">
        <v>1</v>
      </c>
      <c r="Y16" s="3"/>
      <c r="Z16" s="3"/>
      <c r="AA16" s="3"/>
      <c r="AB16" s="3">
        <v>1</v>
      </c>
      <c r="AC16" s="3"/>
      <c r="AD16" s="3">
        <v>1</v>
      </c>
      <c r="AE16" s="3"/>
      <c r="AF16" s="3"/>
      <c r="AG16" s="3"/>
      <c r="AH16" s="3">
        <v>1</v>
      </c>
      <c r="AI16" s="3"/>
      <c r="AJ16" s="3">
        <v>1</v>
      </c>
      <c r="AK16" s="3"/>
      <c r="AL16" s="28">
        <v>1</v>
      </c>
      <c r="AM16" s="28"/>
      <c r="AN16" s="3">
        <v>1</v>
      </c>
      <c r="AO16" s="3"/>
      <c r="AP16" s="3" t="s">
        <v>25</v>
      </c>
      <c r="AQ16" s="3" t="s">
        <v>25</v>
      </c>
      <c r="AR16" s="3" t="s">
        <v>25</v>
      </c>
      <c r="AS16" s="3" t="s">
        <v>25</v>
      </c>
      <c r="AT16" s="3" t="s">
        <v>25</v>
      </c>
      <c r="AU16" s="3" t="s">
        <v>25</v>
      </c>
      <c r="AV16" s="28" t="s">
        <v>25</v>
      </c>
      <c r="AW16" s="28" t="s">
        <v>25</v>
      </c>
      <c r="AX16" s="28" t="s">
        <v>25</v>
      </c>
      <c r="AY16" s="28" t="s">
        <v>25</v>
      </c>
      <c r="AZ16" s="28" t="s">
        <v>25</v>
      </c>
      <c r="BA16" s="28" t="s">
        <v>25</v>
      </c>
      <c r="BB16" s="3" t="s">
        <v>25</v>
      </c>
      <c r="BC16" s="3" t="s">
        <v>25</v>
      </c>
      <c r="BD16" s="3" t="s">
        <v>25</v>
      </c>
      <c r="BE16" s="3" t="s">
        <v>25</v>
      </c>
      <c r="BF16" s="3" t="s">
        <v>25</v>
      </c>
      <c r="BG16" s="3" t="s">
        <v>25</v>
      </c>
      <c r="BH16" s="3" t="s">
        <v>25</v>
      </c>
      <c r="BI16" s="3" t="s">
        <v>25</v>
      </c>
      <c r="BJ16" s="3" t="s">
        <v>25</v>
      </c>
      <c r="BK16" s="3" t="s">
        <v>25</v>
      </c>
      <c r="BL16" s="3" t="s">
        <v>25</v>
      </c>
      <c r="BM16" s="3" t="s">
        <v>25</v>
      </c>
      <c r="BN16" s="28" t="s">
        <v>25</v>
      </c>
      <c r="BO16" s="28" t="s">
        <v>25</v>
      </c>
      <c r="BP16" s="3"/>
      <c r="BQ16" s="3"/>
      <c r="BR16" s="4">
        <f>SUM(D16,H16,F16,J16,L16,N16,P16,R16,T16,V16,X16,Z16,AB16,AD16,AF16,AH16,AJ16,AL16,AN16,AP16,AR16,AT16,AV16,AX16,AZ16,BB16,BD16,BF16,BH16,BJ16,BL16,BN16)</f>
        <v>15</v>
      </c>
      <c r="BS16" s="36">
        <f t="shared" ref="BS16" si="30">BR16+BR17+BR18*2</f>
        <v>15</v>
      </c>
      <c r="BT16" s="4">
        <f t="shared" si="17"/>
        <v>0</v>
      </c>
      <c r="BU16" s="36">
        <f t="shared" ref="BU16" si="31">BT16+BT17+BT18*2</f>
        <v>0</v>
      </c>
      <c r="BV16" s="34">
        <f>SUM(BU16,BS16)</f>
        <v>15</v>
      </c>
      <c r="BW16" s="1">
        <f>SUM(AL16,AV16,AX16,AZ16,BN16)</f>
        <v>1</v>
      </c>
      <c r="BX16" s="34">
        <f t="shared" ref="BX16" si="32">BW16+BW17+BW18*2</f>
        <v>1</v>
      </c>
      <c r="BY16" s="1">
        <f t="shared" si="18"/>
        <v>0</v>
      </c>
      <c r="BZ16" s="34">
        <f t="shared" ref="BZ16" si="33">BY16+BY17+BY18*2</f>
        <v>0</v>
      </c>
      <c r="CA16" s="34">
        <f>SUM(BZ16,BX16)</f>
        <v>1</v>
      </c>
    </row>
    <row r="17" spans="1:79" ht="16.5" thickTop="1" thickBot="1" x14ac:dyDescent="0.3">
      <c r="A17" s="13">
        <f>BU16</f>
        <v>0</v>
      </c>
      <c r="B17" s="41"/>
      <c r="C17" s="2">
        <f>BV16</f>
        <v>15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6"/>
      <c r="AM17" s="26"/>
      <c r="AN17" s="2"/>
      <c r="AO17" s="2"/>
      <c r="AP17" s="3" t="s">
        <v>25</v>
      </c>
      <c r="AQ17" s="3" t="s">
        <v>25</v>
      </c>
      <c r="AR17" s="3" t="s">
        <v>25</v>
      </c>
      <c r="AS17" s="3" t="s">
        <v>25</v>
      </c>
      <c r="AT17" s="3" t="s">
        <v>25</v>
      </c>
      <c r="AU17" s="3" t="s">
        <v>25</v>
      </c>
      <c r="AV17" s="28" t="s">
        <v>25</v>
      </c>
      <c r="AW17" s="28" t="s">
        <v>25</v>
      </c>
      <c r="AX17" s="28" t="s">
        <v>25</v>
      </c>
      <c r="AY17" s="28" t="s">
        <v>25</v>
      </c>
      <c r="AZ17" s="28" t="s">
        <v>25</v>
      </c>
      <c r="BA17" s="28" t="s">
        <v>25</v>
      </c>
      <c r="BB17" s="3" t="s">
        <v>25</v>
      </c>
      <c r="BC17" s="3" t="s">
        <v>25</v>
      </c>
      <c r="BD17" s="3" t="s">
        <v>25</v>
      </c>
      <c r="BE17" s="3" t="s">
        <v>25</v>
      </c>
      <c r="BF17" s="3" t="s">
        <v>25</v>
      </c>
      <c r="BG17" s="3" t="s">
        <v>25</v>
      </c>
      <c r="BH17" s="3" t="s">
        <v>25</v>
      </c>
      <c r="BI17" s="3" t="s">
        <v>25</v>
      </c>
      <c r="BJ17" s="3" t="s">
        <v>25</v>
      </c>
      <c r="BK17" s="3" t="s">
        <v>25</v>
      </c>
      <c r="BL17" s="3" t="s">
        <v>25</v>
      </c>
      <c r="BM17" s="3" t="s">
        <v>25</v>
      </c>
      <c r="BN17" s="28" t="s">
        <v>25</v>
      </c>
      <c r="BO17" s="28" t="s">
        <v>25</v>
      </c>
      <c r="BP17" s="2"/>
      <c r="BQ17" s="2"/>
      <c r="BR17" s="4">
        <f>SUM(D17,H17,F17,J17,L17,N17,P17,R17,T17,V17,X17,Z17,AB17,AD17,AF17,AH17,AJ17,AL17,AN17,AP17,AR17,AT17,AV17,AX17,AZ17,BB17,BD17,BF17,BH17,BJ17,BL17,BN17)</f>
        <v>0</v>
      </c>
      <c r="BS17" s="34"/>
      <c r="BT17" s="4">
        <f t="shared" si="17"/>
        <v>0</v>
      </c>
      <c r="BU17" s="34"/>
      <c r="BV17" s="34"/>
      <c r="BW17" s="1">
        <f>SUM(AL17,AV17,AX17,AZ17,BN17)</f>
        <v>0</v>
      </c>
      <c r="BX17" s="34"/>
      <c r="BY17" s="1">
        <f t="shared" si="18"/>
        <v>0</v>
      </c>
      <c r="BZ17" s="34"/>
      <c r="CA17" s="34"/>
    </row>
    <row r="18" spans="1:79" ht="16.5" thickTop="1" thickBot="1" x14ac:dyDescent="0.3">
      <c r="A18" s="14">
        <f t="shared" si="19"/>
        <v>0</v>
      </c>
      <c r="B18" s="42"/>
      <c r="C18" s="23">
        <v>15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7"/>
      <c r="AM18" s="27"/>
      <c r="AN18" s="23"/>
      <c r="AO18" s="23"/>
      <c r="AP18" s="3" t="s">
        <v>25</v>
      </c>
      <c r="AQ18" s="3" t="s">
        <v>25</v>
      </c>
      <c r="AR18" s="3" t="s">
        <v>25</v>
      </c>
      <c r="AS18" s="3" t="s">
        <v>25</v>
      </c>
      <c r="AT18" s="3" t="s">
        <v>25</v>
      </c>
      <c r="AU18" s="3" t="s">
        <v>25</v>
      </c>
      <c r="AV18" s="28" t="s">
        <v>25</v>
      </c>
      <c r="AW18" s="28" t="s">
        <v>25</v>
      </c>
      <c r="AX18" s="28" t="s">
        <v>25</v>
      </c>
      <c r="AY18" s="28" t="s">
        <v>25</v>
      </c>
      <c r="AZ18" s="28" t="s">
        <v>25</v>
      </c>
      <c r="BA18" s="28" t="s">
        <v>25</v>
      </c>
      <c r="BB18" s="3" t="s">
        <v>25</v>
      </c>
      <c r="BC18" s="3" t="s">
        <v>25</v>
      </c>
      <c r="BD18" s="3" t="s">
        <v>25</v>
      </c>
      <c r="BE18" s="3" t="s">
        <v>25</v>
      </c>
      <c r="BF18" s="3" t="s">
        <v>25</v>
      </c>
      <c r="BG18" s="3" t="s">
        <v>25</v>
      </c>
      <c r="BH18" s="3" t="s">
        <v>25</v>
      </c>
      <c r="BI18" s="3" t="s">
        <v>25</v>
      </c>
      <c r="BJ18" s="3" t="s">
        <v>25</v>
      </c>
      <c r="BK18" s="3" t="s">
        <v>25</v>
      </c>
      <c r="BL18" s="3" t="s">
        <v>25</v>
      </c>
      <c r="BM18" s="3" t="s">
        <v>25</v>
      </c>
      <c r="BN18" s="28" t="s">
        <v>25</v>
      </c>
      <c r="BO18" s="28" t="s">
        <v>25</v>
      </c>
      <c r="BP18" s="23"/>
      <c r="BQ18" s="23"/>
      <c r="BR18" s="4">
        <f>SUM(D18,H18,F18,J18,L18,N18,P18,R18,T18,V18,X18,Z18,AB18,AD18,AF18,AH18,AJ18,AL18,AN18,AP18,AR18,AT18,AV18,AX18,AZ18,BB18,BD18,BF18,BH18,BJ18,BL18,BN18)</f>
        <v>0</v>
      </c>
      <c r="BS18" s="35"/>
      <c r="BT18" s="4">
        <f t="shared" si="17"/>
        <v>0</v>
      </c>
      <c r="BU18" s="35"/>
      <c r="BV18" s="35"/>
      <c r="BW18" s="1">
        <f>SUM(AL18,AV18,AX18,AZ18,BN18)</f>
        <v>0</v>
      </c>
      <c r="BX18" s="35"/>
      <c r="BY18" s="1">
        <f t="shared" si="18"/>
        <v>0</v>
      </c>
      <c r="BZ18" s="35"/>
      <c r="CA18" s="35"/>
    </row>
    <row r="19" spans="1:79" ht="16.5" thickTop="1" thickBot="1" x14ac:dyDescent="0.3">
      <c r="A19" s="13" t="s">
        <v>37</v>
      </c>
      <c r="B19" s="41" t="s">
        <v>53</v>
      </c>
      <c r="C19" s="3">
        <f t="shared" si="21"/>
        <v>4</v>
      </c>
      <c r="D19" s="3"/>
      <c r="E19" s="3"/>
      <c r="F19" s="22"/>
      <c r="G19" s="22"/>
      <c r="H19" s="22"/>
      <c r="I19" s="22"/>
      <c r="J19" s="22"/>
      <c r="K19" s="22"/>
      <c r="L19" s="22">
        <v>1</v>
      </c>
      <c r="M19" s="22"/>
      <c r="N19" s="22"/>
      <c r="O19" s="22"/>
      <c r="P19" s="22">
        <v>1</v>
      </c>
      <c r="Q19" s="2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 t="s">
        <v>25</v>
      </c>
      <c r="AE19" s="3" t="s">
        <v>25</v>
      </c>
      <c r="AF19" s="3"/>
      <c r="AG19" s="3"/>
      <c r="AH19" s="3">
        <v>1</v>
      </c>
      <c r="AI19" s="3"/>
      <c r="AJ19" s="3"/>
      <c r="AK19" s="3"/>
      <c r="AL19" s="28" t="s">
        <v>25</v>
      </c>
      <c r="AM19" s="28" t="s">
        <v>25</v>
      </c>
      <c r="AN19" s="3" t="s">
        <v>25</v>
      </c>
      <c r="AO19" s="3" t="s">
        <v>25</v>
      </c>
      <c r="AP19" s="3" t="s">
        <v>25</v>
      </c>
      <c r="AQ19" s="3" t="s">
        <v>25</v>
      </c>
      <c r="AR19" s="3" t="s">
        <v>25</v>
      </c>
      <c r="AS19" s="3" t="s">
        <v>25</v>
      </c>
      <c r="AT19" s="3" t="s">
        <v>25</v>
      </c>
      <c r="AU19" s="3" t="s">
        <v>25</v>
      </c>
      <c r="AV19" s="28"/>
      <c r="AW19" s="28"/>
      <c r="AX19" s="28">
        <v>1</v>
      </c>
      <c r="AY19" s="28"/>
      <c r="AZ19" s="28"/>
      <c r="BA19" s="28"/>
      <c r="BB19" s="3">
        <v>1</v>
      </c>
      <c r="BC19" s="3"/>
      <c r="BD19" s="3"/>
      <c r="BE19" s="3"/>
      <c r="BF19" s="3">
        <v>1</v>
      </c>
      <c r="BG19" s="3"/>
      <c r="BH19" s="3"/>
      <c r="BI19" s="3"/>
      <c r="BJ19" s="3"/>
      <c r="BK19" s="3"/>
      <c r="BL19" s="3"/>
      <c r="BM19" s="3"/>
      <c r="BN19" s="28">
        <v>1</v>
      </c>
      <c r="BO19" s="28"/>
      <c r="BP19" s="3"/>
      <c r="BQ19" s="3"/>
      <c r="BR19" s="4">
        <f t="shared" si="16"/>
        <v>7</v>
      </c>
      <c r="BS19" s="36">
        <f t="shared" ref="BS19" si="34">BR19+BR20+BR21*2</f>
        <v>24</v>
      </c>
      <c r="BT19" s="4">
        <f t="shared" si="17"/>
        <v>0</v>
      </c>
      <c r="BU19" s="36">
        <f t="shared" ref="BU19" si="35">BT19+BT20+BT21*2</f>
        <v>0</v>
      </c>
      <c r="BV19" s="34">
        <f>SUM(BU19,BS19)</f>
        <v>24</v>
      </c>
      <c r="BW19" s="1">
        <f t="shared" si="20"/>
        <v>2</v>
      </c>
      <c r="BX19" s="34">
        <f t="shared" ref="BX19" si="36">BW19+BW20+BW21*2</f>
        <v>4</v>
      </c>
      <c r="BY19" s="1">
        <f t="shared" si="18"/>
        <v>0</v>
      </c>
      <c r="BZ19" s="34">
        <f t="shared" ref="BZ19" si="37">BY19+BY20+BY21*2</f>
        <v>0</v>
      </c>
      <c r="CA19" s="34">
        <f>SUM(BZ19,BX19)</f>
        <v>4</v>
      </c>
    </row>
    <row r="20" spans="1:79" ht="16.5" thickTop="1" thickBot="1" x14ac:dyDescent="0.3">
      <c r="A20" s="13">
        <v>6</v>
      </c>
      <c r="B20" s="41"/>
      <c r="C20" s="2">
        <f>BV19</f>
        <v>24</v>
      </c>
      <c r="D20" s="2"/>
      <c r="E20" s="2"/>
      <c r="F20" s="2">
        <v>1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3" t="s">
        <v>25</v>
      </c>
      <c r="AE20" s="3" t="s">
        <v>25</v>
      </c>
      <c r="AF20" s="2"/>
      <c r="AG20" s="2"/>
      <c r="AH20" s="2"/>
      <c r="AI20" s="2"/>
      <c r="AJ20" s="2"/>
      <c r="AK20" s="2"/>
      <c r="AL20" s="28" t="s">
        <v>25</v>
      </c>
      <c r="AM20" s="28" t="s">
        <v>25</v>
      </c>
      <c r="AN20" s="3" t="s">
        <v>25</v>
      </c>
      <c r="AO20" s="3" t="s">
        <v>25</v>
      </c>
      <c r="AP20" s="3" t="s">
        <v>25</v>
      </c>
      <c r="AQ20" s="3" t="s">
        <v>25</v>
      </c>
      <c r="AR20" s="3" t="s">
        <v>25</v>
      </c>
      <c r="AS20" s="3" t="s">
        <v>25</v>
      </c>
      <c r="AT20" s="3" t="s">
        <v>25</v>
      </c>
      <c r="AU20" s="3" t="s">
        <v>25</v>
      </c>
      <c r="AV20" s="26"/>
      <c r="AW20" s="26"/>
      <c r="AX20" s="26">
        <v>1</v>
      </c>
      <c r="AY20" s="26"/>
      <c r="AZ20" s="26"/>
      <c r="BA20" s="26"/>
      <c r="BB20" s="2">
        <v>1</v>
      </c>
      <c r="BC20" s="2"/>
      <c r="BD20" s="2"/>
      <c r="BE20" s="2"/>
      <c r="BF20" s="2">
        <v>1</v>
      </c>
      <c r="BG20" s="2"/>
      <c r="BH20" s="2"/>
      <c r="BI20" s="2"/>
      <c r="BJ20" s="2"/>
      <c r="BK20" s="2"/>
      <c r="BL20" s="2"/>
      <c r="BM20" s="2"/>
      <c r="BN20" s="26">
        <v>1</v>
      </c>
      <c r="BO20" s="26"/>
      <c r="BP20" s="2"/>
      <c r="BQ20" s="2"/>
      <c r="BR20" s="4">
        <f t="shared" si="16"/>
        <v>5</v>
      </c>
      <c r="BS20" s="34"/>
      <c r="BT20" s="4">
        <f t="shared" si="17"/>
        <v>0</v>
      </c>
      <c r="BU20" s="34"/>
      <c r="BV20" s="34"/>
      <c r="BW20" s="1">
        <f t="shared" si="20"/>
        <v>2</v>
      </c>
      <c r="BX20" s="34"/>
      <c r="BY20" s="1">
        <f t="shared" si="18"/>
        <v>0</v>
      </c>
      <c r="BZ20" s="34"/>
      <c r="CA20" s="34"/>
    </row>
    <row r="21" spans="1:79" ht="16.5" thickTop="1" thickBot="1" x14ac:dyDescent="0.3">
      <c r="A21" s="14">
        <f t="shared" si="19"/>
        <v>6</v>
      </c>
      <c r="B21" s="42"/>
      <c r="C21" s="23">
        <v>24</v>
      </c>
      <c r="D21" s="23"/>
      <c r="E21" s="23"/>
      <c r="F21" s="23"/>
      <c r="G21" s="23"/>
      <c r="H21" s="23"/>
      <c r="I21" s="23"/>
      <c r="J21" s="23"/>
      <c r="K21" s="23"/>
      <c r="L21" s="23">
        <v>1</v>
      </c>
      <c r="M21" s="23"/>
      <c r="N21" s="23"/>
      <c r="O21" s="23"/>
      <c r="P21" s="23"/>
      <c r="Q21" s="23"/>
      <c r="R21" s="23">
        <v>1</v>
      </c>
      <c r="S21" s="23"/>
      <c r="T21" s="23"/>
      <c r="U21" s="23"/>
      <c r="V21" s="23">
        <v>1</v>
      </c>
      <c r="W21" s="23"/>
      <c r="X21" s="23"/>
      <c r="Y21" s="23"/>
      <c r="Z21" s="23">
        <v>1</v>
      </c>
      <c r="AA21" s="23"/>
      <c r="AB21" s="23"/>
      <c r="AC21" s="23"/>
      <c r="AD21" s="3" t="s">
        <v>25</v>
      </c>
      <c r="AE21" s="3" t="s">
        <v>25</v>
      </c>
      <c r="AF21" s="23"/>
      <c r="AG21" s="23"/>
      <c r="AH21" s="23">
        <v>1</v>
      </c>
      <c r="AI21" s="23"/>
      <c r="AJ21" s="23"/>
      <c r="AK21" s="23"/>
      <c r="AL21" s="28" t="s">
        <v>25</v>
      </c>
      <c r="AM21" s="28" t="s">
        <v>25</v>
      </c>
      <c r="AN21" s="3" t="s">
        <v>25</v>
      </c>
      <c r="AO21" s="3" t="s">
        <v>25</v>
      </c>
      <c r="AP21" s="3" t="s">
        <v>25</v>
      </c>
      <c r="AQ21" s="3" t="s">
        <v>25</v>
      </c>
      <c r="AR21" s="3" t="s">
        <v>25</v>
      </c>
      <c r="AS21" s="3" t="s">
        <v>25</v>
      </c>
      <c r="AT21" s="3" t="s">
        <v>25</v>
      </c>
      <c r="AU21" s="3" t="s">
        <v>25</v>
      </c>
      <c r="AV21" s="27"/>
      <c r="AW21" s="27"/>
      <c r="AX21" s="27"/>
      <c r="AY21" s="27"/>
      <c r="AZ21" s="27"/>
      <c r="BA21" s="27"/>
      <c r="BB21" s="23"/>
      <c r="BC21" s="23"/>
      <c r="BD21" s="23"/>
      <c r="BE21" s="23"/>
      <c r="BF21" s="23"/>
      <c r="BG21" s="23"/>
      <c r="BH21" s="23">
        <v>1</v>
      </c>
      <c r="BI21" s="23"/>
      <c r="BJ21" s="23"/>
      <c r="BK21" s="23"/>
      <c r="BL21" s="23"/>
      <c r="BM21" s="23"/>
      <c r="BN21" s="27"/>
      <c r="BO21" s="27"/>
      <c r="BP21" s="23"/>
      <c r="BQ21" s="23"/>
      <c r="BR21" s="18">
        <f t="shared" si="16"/>
        <v>6</v>
      </c>
      <c r="BS21" s="35"/>
      <c r="BT21" s="4">
        <f t="shared" si="17"/>
        <v>0</v>
      </c>
      <c r="BU21" s="35"/>
      <c r="BV21" s="35"/>
      <c r="BW21" s="1">
        <f t="shared" si="20"/>
        <v>0</v>
      </c>
      <c r="BX21" s="35"/>
      <c r="BY21" s="1">
        <f t="shared" si="18"/>
        <v>0</v>
      </c>
      <c r="BZ21" s="35"/>
      <c r="CA21" s="35"/>
    </row>
    <row r="22" spans="1:79" ht="16.5" thickTop="1" thickBot="1" x14ac:dyDescent="0.3">
      <c r="A22" s="8" t="s">
        <v>44</v>
      </c>
      <c r="B22" s="41" t="s">
        <v>54</v>
      </c>
      <c r="C22" s="3">
        <f t="shared" si="21"/>
        <v>4</v>
      </c>
      <c r="D22" s="3"/>
      <c r="E22" s="3"/>
      <c r="F22" s="22">
        <v>1</v>
      </c>
      <c r="G22" s="22"/>
      <c r="H22" s="22">
        <v>1</v>
      </c>
      <c r="I22" s="22"/>
      <c r="J22" s="22"/>
      <c r="K22" s="22"/>
      <c r="L22" s="22"/>
      <c r="M22" s="22"/>
      <c r="N22" s="22"/>
      <c r="O22" s="22"/>
      <c r="P22" s="22">
        <v>1</v>
      </c>
      <c r="Q22" s="2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>
        <v>1</v>
      </c>
      <c r="AK22" s="3"/>
      <c r="AL22" s="28"/>
      <c r="AM22" s="28"/>
      <c r="AN22" s="3"/>
      <c r="AO22" s="3"/>
      <c r="AP22" s="3">
        <v>1</v>
      </c>
      <c r="AQ22" s="3"/>
      <c r="AR22" s="3"/>
      <c r="AS22" s="3"/>
      <c r="AT22" s="3"/>
      <c r="AU22" s="3"/>
      <c r="AV22" s="28">
        <v>1</v>
      </c>
      <c r="AW22" s="28"/>
      <c r="AX22" s="28"/>
      <c r="AY22" s="28"/>
      <c r="AZ22" s="28"/>
      <c r="BA22" s="28"/>
      <c r="BB22" s="3"/>
      <c r="BC22" s="3"/>
      <c r="BD22" s="3">
        <v>1</v>
      </c>
      <c r="BE22" s="3"/>
      <c r="BF22" s="3">
        <v>1</v>
      </c>
      <c r="BG22" s="3"/>
      <c r="BH22" s="3"/>
      <c r="BI22" s="3"/>
      <c r="BJ22" s="3"/>
      <c r="BK22" s="3"/>
      <c r="BL22" s="3"/>
      <c r="BM22" s="3"/>
      <c r="BN22" s="28"/>
      <c r="BO22" s="28"/>
      <c r="BP22" s="3"/>
      <c r="BQ22" s="3"/>
      <c r="BR22" s="1">
        <f t="shared" si="16"/>
        <v>8</v>
      </c>
      <c r="BS22" s="36">
        <f t="shared" ref="BS22" si="38">BR22+BR23+BR24*2</f>
        <v>20</v>
      </c>
      <c r="BT22" s="4">
        <f t="shared" si="17"/>
        <v>0</v>
      </c>
      <c r="BU22" s="36">
        <f t="shared" ref="BU22" si="39">BT22+BT23+BT24*2</f>
        <v>0</v>
      </c>
      <c r="BV22" s="34">
        <f>SUM(BU22,BS22)</f>
        <v>20</v>
      </c>
      <c r="BW22" s="1">
        <f t="shared" si="20"/>
        <v>1</v>
      </c>
      <c r="BX22" s="34">
        <f t="shared" ref="BX22" si="40">BW22+BW23+BW24*2</f>
        <v>4</v>
      </c>
      <c r="BY22" s="1">
        <f t="shared" si="18"/>
        <v>0</v>
      </c>
      <c r="BZ22" s="34">
        <f t="shared" ref="BZ22" si="41">BY22+BY23+BY24*2</f>
        <v>0</v>
      </c>
      <c r="CA22" s="34">
        <f>SUM(BZ22,BX22)</f>
        <v>4</v>
      </c>
    </row>
    <row r="23" spans="1:79" ht="16.5" thickTop="1" thickBot="1" x14ac:dyDescent="0.3">
      <c r="A23" s="8">
        <v>4</v>
      </c>
      <c r="B23" s="41"/>
      <c r="C23" s="2">
        <f>BV22</f>
        <v>20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>
        <v>1</v>
      </c>
      <c r="AE23" s="2"/>
      <c r="AF23" s="2"/>
      <c r="AG23" s="2"/>
      <c r="AH23" s="2"/>
      <c r="AI23" s="2"/>
      <c r="AJ23" s="2"/>
      <c r="AK23" s="2"/>
      <c r="AL23" s="26"/>
      <c r="AM23" s="26"/>
      <c r="AN23" s="2"/>
      <c r="AO23" s="2"/>
      <c r="AP23" s="2"/>
      <c r="AQ23" s="2"/>
      <c r="AR23" s="2"/>
      <c r="AS23" s="2"/>
      <c r="AT23" s="2"/>
      <c r="AU23" s="2"/>
      <c r="AV23" s="26"/>
      <c r="AW23" s="26"/>
      <c r="AX23" s="26">
        <v>1</v>
      </c>
      <c r="AY23" s="26"/>
      <c r="AZ23" s="26"/>
      <c r="BA23" s="26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6"/>
      <c r="BO23" s="26"/>
      <c r="BP23" s="2"/>
      <c r="BQ23" s="2"/>
      <c r="BR23" s="4">
        <f t="shared" si="16"/>
        <v>2</v>
      </c>
      <c r="BS23" s="34"/>
      <c r="BT23" s="4">
        <f t="shared" si="17"/>
        <v>0</v>
      </c>
      <c r="BU23" s="34"/>
      <c r="BV23" s="34"/>
      <c r="BW23" s="1">
        <f t="shared" si="20"/>
        <v>1</v>
      </c>
      <c r="BX23" s="34"/>
      <c r="BY23" s="1">
        <f t="shared" si="18"/>
        <v>0</v>
      </c>
      <c r="BZ23" s="34"/>
      <c r="CA23" s="34"/>
    </row>
    <row r="24" spans="1:79" ht="16.5" thickTop="1" thickBot="1" x14ac:dyDescent="0.3">
      <c r="A24" s="8">
        <f t="shared" si="19"/>
        <v>5</v>
      </c>
      <c r="B24" s="42"/>
      <c r="C24" s="23">
        <v>20</v>
      </c>
      <c r="D24" s="23"/>
      <c r="E24" s="23"/>
      <c r="F24" s="23"/>
      <c r="G24" s="23"/>
      <c r="H24" s="23"/>
      <c r="I24" s="23"/>
      <c r="J24" s="23">
        <v>1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>
        <v>1</v>
      </c>
      <c r="Y24" s="23"/>
      <c r="Z24" s="23"/>
      <c r="AA24" s="23"/>
      <c r="AB24" s="23"/>
      <c r="AC24" s="23"/>
      <c r="AD24" s="23">
        <v>1</v>
      </c>
      <c r="AE24" s="23"/>
      <c r="AF24" s="23"/>
      <c r="AG24" s="23"/>
      <c r="AH24" s="23"/>
      <c r="AI24" s="23"/>
      <c r="AJ24" s="23"/>
      <c r="AK24" s="23"/>
      <c r="AL24" s="27"/>
      <c r="AM24" s="27"/>
      <c r="AN24" s="23"/>
      <c r="AO24" s="23"/>
      <c r="AP24" s="23"/>
      <c r="AQ24" s="23"/>
      <c r="AR24" s="23">
        <v>1</v>
      </c>
      <c r="AS24" s="23"/>
      <c r="AT24" s="23"/>
      <c r="AU24" s="23"/>
      <c r="AV24" s="27"/>
      <c r="AW24" s="27"/>
      <c r="AX24" s="27">
        <v>1</v>
      </c>
      <c r="AY24" s="27"/>
      <c r="AZ24" s="27"/>
      <c r="BA24" s="27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7"/>
      <c r="BO24" s="27"/>
      <c r="BP24" s="23"/>
      <c r="BQ24" s="23"/>
      <c r="BR24" s="4">
        <f t="shared" si="16"/>
        <v>5</v>
      </c>
      <c r="BS24" s="35"/>
      <c r="BT24" s="4">
        <f t="shared" si="17"/>
        <v>0</v>
      </c>
      <c r="BU24" s="35"/>
      <c r="BV24" s="35"/>
      <c r="BW24" s="1">
        <f t="shared" si="20"/>
        <v>1</v>
      </c>
      <c r="BX24" s="35"/>
      <c r="BY24" s="1">
        <f t="shared" si="18"/>
        <v>0</v>
      </c>
      <c r="BZ24" s="35"/>
      <c r="CA24" s="35"/>
    </row>
    <row r="25" spans="1:79" ht="16.5" thickTop="1" thickBot="1" x14ac:dyDescent="0.3">
      <c r="A25" s="13" t="s">
        <v>45</v>
      </c>
      <c r="B25" s="41" t="s">
        <v>55</v>
      </c>
      <c r="C25" s="3">
        <f t="shared" si="21"/>
        <v>0</v>
      </c>
      <c r="D25" s="3"/>
      <c r="E25" s="3"/>
      <c r="F25" s="3" t="s">
        <v>25</v>
      </c>
      <c r="G25" s="3" t="s">
        <v>25</v>
      </c>
      <c r="H25" s="3" t="s">
        <v>25</v>
      </c>
      <c r="I25" s="3" t="s">
        <v>25</v>
      </c>
      <c r="J25" s="3" t="s">
        <v>25</v>
      </c>
      <c r="K25" s="3" t="s">
        <v>25</v>
      </c>
      <c r="L25" s="3" t="s">
        <v>25</v>
      </c>
      <c r="M25" s="3" t="s">
        <v>25</v>
      </c>
      <c r="N25" s="3" t="s">
        <v>25</v>
      </c>
      <c r="O25" s="3" t="s">
        <v>25</v>
      </c>
      <c r="P25" s="3" t="s">
        <v>25</v>
      </c>
      <c r="Q25" s="3" t="s">
        <v>25</v>
      </c>
      <c r="R25" s="3">
        <v>1</v>
      </c>
      <c r="S25" s="3"/>
      <c r="T25" s="3"/>
      <c r="U25" s="3"/>
      <c r="V25" s="3"/>
      <c r="W25" s="3"/>
      <c r="X25" s="3"/>
      <c r="Y25" s="3"/>
      <c r="Z25" s="3"/>
      <c r="AA25" s="3"/>
      <c r="AB25" s="3">
        <v>1</v>
      </c>
      <c r="AC25" s="3"/>
      <c r="AD25" s="3"/>
      <c r="AE25" s="3"/>
      <c r="AF25" s="3" t="s">
        <v>49</v>
      </c>
      <c r="AG25" s="3"/>
      <c r="AH25" s="3"/>
      <c r="AI25" s="3"/>
      <c r="AJ25" s="3"/>
      <c r="AK25" s="3"/>
      <c r="AL25" s="28"/>
      <c r="AM25" s="28"/>
      <c r="AN25" s="3"/>
      <c r="AO25" s="3"/>
      <c r="AP25" s="3">
        <v>1</v>
      </c>
      <c r="AQ25" s="3"/>
      <c r="AR25" s="3"/>
      <c r="AS25" s="3"/>
      <c r="AT25" s="3">
        <v>1</v>
      </c>
      <c r="AU25" s="3"/>
      <c r="AV25" s="28" t="s">
        <v>25</v>
      </c>
      <c r="AW25" s="28" t="s">
        <v>25</v>
      </c>
      <c r="AX25" s="28" t="s">
        <v>25</v>
      </c>
      <c r="AY25" s="28" t="s">
        <v>25</v>
      </c>
      <c r="AZ25" s="28" t="s">
        <v>25</v>
      </c>
      <c r="BA25" s="28" t="s">
        <v>25</v>
      </c>
      <c r="BB25" s="3" t="s">
        <v>25</v>
      </c>
      <c r="BC25" s="3" t="s">
        <v>25</v>
      </c>
      <c r="BD25" s="3">
        <v>1</v>
      </c>
      <c r="BE25" s="3"/>
      <c r="BF25" s="3"/>
      <c r="BG25" s="3"/>
      <c r="BH25" s="3">
        <v>1</v>
      </c>
      <c r="BI25" s="3"/>
      <c r="BJ25" s="3">
        <v>1</v>
      </c>
      <c r="BK25" s="3"/>
      <c r="BL25" s="3"/>
      <c r="BM25" s="3"/>
      <c r="BN25" s="28"/>
      <c r="BO25" s="28"/>
      <c r="BP25" s="3"/>
      <c r="BQ25" s="3"/>
      <c r="BR25" s="4">
        <f t="shared" si="16"/>
        <v>7</v>
      </c>
      <c r="BS25" s="36">
        <f t="shared" ref="BS25" si="42">BR25+BR26+BR27*2</f>
        <v>20</v>
      </c>
      <c r="BT25" s="4">
        <f t="shared" si="17"/>
        <v>0</v>
      </c>
      <c r="BU25" s="36">
        <f t="shared" ref="BU25" si="43">BT25+BT26+BT27*2</f>
        <v>0</v>
      </c>
      <c r="BV25" s="34">
        <f>SUM(BU25,BS25)</f>
        <v>20</v>
      </c>
      <c r="BW25" s="1">
        <f t="shared" si="20"/>
        <v>0</v>
      </c>
      <c r="BX25" s="34">
        <f t="shared" ref="BX25" si="44">BW25+BW26+BW27*2</f>
        <v>0</v>
      </c>
      <c r="BY25" s="1">
        <f t="shared" si="18"/>
        <v>0</v>
      </c>
      <c r="BZ25" s="34">
        <f t="shared" ref="BZ25" si="45">BY25+BY26+BY27*2</f>
        <v>0</v>
      </c>
      <c r="CA25" s="34">
        <f>SUM(BZ25,BX25)</f>
        <v>0</v>
      </c>
    </row>
    <row r="26" spans="1:79" ht="16.5" thickTop="1" thickBot="1" x14ac:dyDescent="0.3">
      <c r="A26" s="13">
        <v>6</v>
      </c>
      <c r="B26" s="41"/>
      <c r="C26" s="2">
        <f>BV25</f>
        <v>20</v>
      </c>
      <c r="D26" s="2"/>
      <c r="E26" s="2"/>
      <c r="F26" s="2" t="s">
        <v>25</v>
      </c>
      <c r="G26" s="2" t="s">
        <v>25</v>
      </c>
      <c r="H26" s="2" t="s">
        <v>25</v>
      </c>
      <c r="I26" s="2" t="s">
        <v>25</v>
      </c>
      <c r="J26" s="2" t="s">
        <v>25</v>
      </c>
      <c r="K26" s="2" t="s">
        <v>25</v>
      </c>
      <c r="L26" s="2" t="s">
        <v>25</v>
      </c>
      <c r="M26" s="2" t="s">
        <v>25</v>
      </c>
      <c r="N26" s="2" t="s">
        <v>25</v>
      </c>
      <c r="O26" s="2" t="s">
        <v>25</v>
      </c>
      <c r="P26" s="2" t="s">
        <v>25</v>
      </c>
      <c r="Q26" s="2" t="s">
        <v>25</v>
      </c>
      <c r="R26" s="2"/>
      <c r="S26" s="2"/>
      <c r="T26" s="2"/>
      <c r="U26" s="2"/>
      <c r="V26" s="2">
        <v>1</v>
      </c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6"/>
      <c r="AM26" s="26"/>
      <c r="AN26" s="2"/>
      <c r="AO26" s="2"/>
      <c r="AP26" s="2"/>
      <c r="AQ26" s="2"/>
      <c r="AR26" s="2"/>
      <c r="AS26" s="2"/>
      <c r="AT26" s="2"/>
      <c r="AU26" s="2"/>
      <c r="AV26" s="28" t="s">
        <v>25</v>
      </c>
      <c r="AW26" s="28" t="s">
        <v>25</v>
      </c>
      <c r="AX26" s="28" t="s">
        <v>25</v>
      </c>
      <c r="AY26" s="28" t="s">
        <v>25</v>
      </c>
      <c r="AZ26" s="28" t="s">
        <v>25</v>
      </c>
      <c r="BA26" s="28" t="s">
        <v>25</v>
      </c>
      <c r="BB26" s="2" t="s">
        <v>25</v>
      </c>
      <c r="BC26" s="2" t="s">
        <v>25</v>
      </c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6"/>
      <c r="BO26" s="26"/>
      <c r="BP26" s="2"/>
      <c r="BQ26" s="2"/>
      <c r="BR26" s="4">
        <f t="shared" si="16"/>
        <v>1</v>
      </c>
      <c r="BS26" s="34"/>
      <c r="BT26" s="4">
        <f t="shared" si="17"/>
        <v>0</v>
      </c>
      <c r="BU26" s="34"/>
      <c r="BV26" s="34"/>
      <c r="BW26" s="1">
        <f t="shared" si="20"/>
        <v>0</v>
      </c>
      <c r="BX26" s="34"/>
      <c r="BY26" s="1">
        <f t="shared" si="18"/>
        <v>0</v>
      </c>
      <c r="BZ26" s="34"/>
      <c r="CA26" s="34"/>
    </row>
    <row r="27" spans="1:79" ht="16.5" thickTop="1" thickBot="1" x14ac:dyDescent="0.3">
      <c r="A27" s="14">
        <f t="shared" si="19"/>
        <v>6</v>
      </c>
      <c r="B27" s="42"/>
      <c r="C27" s="23">
        <v>20</v>
      </c>
      <c r="D27" s="23"/>
      <c r="E27" s="23"/>
      <c r="F27" s="23" t="s">
        <v>25</v>
      </c>
      <c r="G27" s="23" t="s">
        <v>25</v>
      </c>
      <c r="H27" s="23" t="s">
        <v>25</v>
      </c>
      <c r="I27" s="23" t="s">
        <v>25</v>
      </c>
      <c r="J27" s="23" t="s">
        <v>25</v>
      </c>
      <c r="K27" s="23" t="s">
        <v>25</v>
      </c>
      <c r="L27" s="23" t="s">
        <v>25</v>
      </c>
      <c r="M27" s="23" t="s">
        <v>25</v>
      </c>
      <c r="N27" s="23" t="s">
        <v>25</v>
      </c>
      <c r="O27" s="23" t="s">
        <v>25</v>
      </c>
      <c r="P27" s="23" t="s">
        <v>25</v>
      </c>
      <c r="Q27" s="23" t="s">
        <v>25</v>
      </c>
      <c r="R27" s="23">
        <v>1</v>
      </c>
      <c r="S27" s="23"/>
      <c r="T27" s="23"/>
      <c r="U27" s="23"/>
      <c r="V27" s="23"/>
      <c r="W27" s="23"/>
      <c r="X27" s="23">
        <v>1</v>
      </c>
      <c r="Y27" s="23"/>
      <c r="Z27" s="23"/>
      <c r="AA27" s="23"/>
      <c r="AB27" s="23">
        <v>1</v>
      </c>
      <c r="AC27" s="23"/>
      <c r="AD27" s="23"/>
      <c r="AE27" s="23"/>
      <c r="AF27" s="23"/>
      <c r="AG27" s="23"/>
      <c r="AH27" s="23"/>
      <c r="AI27" s="23"/>
      <c r="AJ27" s="23">
        <v>1</v>
      </c>
      <c r="AK27" s="23"/>
      <c r="AL27" s="27"/>
      <c r="AM27" s="27"/>
      <c r="AN27" s="23"/>
      <c r="AO27" s="23"/>
      <c r="AP27" s="23">
        <v>1</v>
      </c>
      <c r="AQ27" s="23"/>
      <c r="AR27" s="23"/>
      <c r="AS27" s="23"/>
      <c r="AT27" s="23"/>
      <c r="AU27" s="23"/>
      <c r="AV27" s="28" t="s">
        <v>25</v>
      </c>
      <c r="AW27" s="28" t="s">
        <v>25</v>
      </c>
      <c r="AX27" s="28" t="s">
        <v>25</v>
      </c>
      <c r="AY27" s="28" t="s">
        <v>25</v>
      </c>
      <c r="AZ27" s="28" t="s">
        <v>25</v>
      </c>
      <c r="BA27" s="28" t="s">
        <v>25</v>
      </c>
      <c r="BB27" s="23" t="s">
        <v>25</v>
      </c>
      <c r="BC27" s="23" t="s">
        <v>25</v>
      </c>
      <c r="BD27" s="23">
        <v>1</v>
      </c>
      <c r="BE27" s="23"/>
      <c r="BF27" s="23"/>
      <c r="BG27" s="23"/>
      <c r="BH27" s="23"/>
      <c r="BI27" s="23"/>
      <c r="BJ27" s="23"/>
      <c r="BK27" s="23"/>
      <c r="BL27" s="23"/>
      <c r="BM27" s="23"/>
      <c r="BN27" s="27"/>
      <c r="BO27" s="27"/>
      <c r="BP27" s="23"/>
      <c r="BQ27" s="23"/>
      <c r="BR27" s="18">
        <f t="shared" si="16"/>
        <v>6</v>
      </c>
      <c r="BS27" s="35"/>
      <c r="BT27" s="4">
        <f t="shared" si="17"/>
        <v>0</v>
      </c>
      <c r="BU27" s="35"/>
      <c r="BV27" s="35"/>
      <c r="BW27" s="1">
        <f t="shared" si="20"/>
        <v>0</v>
      </c>
      <c r="BX27" s="35"/>
      <c r="BY27" s="1">
        <f t="shared" si="18"/>
        <v>0</v>
      </c>
      <c r="BZ27" s="35"/>
      <c r="CA27" s="35"/>
    </row>
    <row r="28" spans="1:79" ht="16.5" thickTop="1" thickBot="1" x14ac:dyDescent="0.3">
      <c r="A28" s="13" t="s">
        <v>46</v>
      </c>
      <c r="B28" s="41" t="s">
        <v>56</v>
      </c>
      <c r="C28" s="3">
        <f t="shared" si="21"/>
        <v>2</v>
      </c>
      <c r="D28" s="3"/>
      <c r="E28" s="3"/>
      <c r="F28" s="22"/>
      <c r="G28" s="22"/>
      <c r="H28" s="22"/>
      <c r="I28" s="22"/>
      <c r="J28" s="22">
        <v>1</v>
      </c>
      <c r="K28" s="22"/>
      <c r="L28" s="22"/>
      <c r="M28" s="22"/>
      <c r="N28" s="22"/>
      <c r="O28" s="22"/>
      <c r="P28" s="22"/>
      <c r="Q28" s="22"/>
      <c r="R28" s="3" t="s">
        <v>25</v>
      </c>
      <c r="S28" s="3" t="s">
        <v>25</v>
      </c>
      <c r="T28" s="3" t="s">
        <v>25</v>
      </c>
      <c r="U28" s="3" t="s">
        <v>25</v>
      </c>
      <c r="V28" s="3" t="s">
        <v>25</v>
      </c>
      <c r="W28" s="3" t="s">
        <v>25</v>
      </c>
      <c r="X28" s="3" t="s">
        <v>25</v>
      </c>
      <c r="Y28" s="3" t="s">
        <v>25</v>
      </c>
      <c r="Z28" s="3" t="s">
        <v>25</v>
      </c>
      <c r="AA28" s="3" t="s">
        <v>25</v>
      </c>
      <c r="AB28" s="3" t="s">
        <v>25</v>
      </c>
      <c r="AC28" s="3" t="s">
        <v>25</v>
      </c>
      <c r="AD28" s="3" t="s">
        <v>25</v>
      </c>
      <c r="AE28" s="3" t="s">
        <v>25</v>
      </c>
      <c r="AF28" s="3"/>
      <c r="AG28" s="3"/>
      <c r="AH28" s="3"/>
      <c r="AI28" s="3"/>
      <c r="AJ28" s="3"/>
      <c r="AK28" s="3"/>
      <c r="AL28" s="28"/>
      <c r="AM28" s="28"/>
      <c r="AN28" s="3"/>
      <c r="AO28" s="3"/>
      <c r="AP28" s="3"/>
      <c r="AQ28" s="3"/>
      <c r="AR28" s="3"/>
      <c r="AS28" s="3"/>
      <c r="AT28" s="3"/>
      <c r="AU28" s="3"/>
      <c r="AV28" s="28"/>
      <c r="AW28" s="28"/>
      <c r="AX28" s="28">
        <v>1</v>
      </c>
      <c r="AY28" s="28"/>
      <c r="AZ28" s="28" t="s">
        <v>25</v>
      </c>
      <c r="BA28" s="28" t="s">
        <v>25</v>
      </c>
      <c r="BB28" s="3"/>
      <c r="BC28" s="3"/>
      <c r="BD28" s="3"/>
      <c r="BE28" s="3"/>
      <c r="BF28" s="3"/>
      <c r="BG28" s="3"/>
      <c r="BH28" s="3">
        <v>1</v>
      </c>
      <c r="BI28" s="3"/>
      <c r="BJ28" s="3"/>
      <c r="BK28" s="3"/>
      <c r="BL28" s="3" t="s">
        <v>25</v>
      </c>
      <c r="BM28" s="3" t="s">
        <v>25</v>
      </c>
      <c r="BN28" s="28" t="s">
        <v>25</v>
      </c>
      <c r="BO28" s="28" t="s">
        <v>25</v>
      </c>
      <c r="BP28" s="3"/>
      <c r="BQ28" s="3"/>
      <c r="BR28" s="1">
        <f t="shared" si="16"/>
        <v>3</v>
      </c>
      <c r="BS28" s="36">
        <f t="shared" ref="BS28" si="46">BR28+BR29+BR30*2</f>
        <v>24</v>
      </c>
      <c r="BT28" s="4">
        <f t="shared" si="17"/>
        <v>0</v>
      </c>
      <c r="BU28" s="36">
        <f t="shared" ref="BU28" si="47">BT28+BT29+BT30*2</f>
        <v>0</v>
      </c>
      <c r="BV28" s="34">
        <f>SUM(BU28,BS28)</f>
        <v>24</v>
      </c>
      <c r="BW28" s="1">
        <f t="shared" si="20"/>
        <v>1</v>
      </c>
      <c r="BX28" s="34">
        <f t="shared" ref="BX28" si="48">BW28+BW29+BW30*2</f>
        <v>2</v>
      </c>
      <c r="BY28" s="1">
        <f t="shared" si="18"/>
        <v>0</v>
      </c>
      <c r="BZ28" s="34">
        <f t="shared" ref="BZ28" si="49">BY28+BY29+BY30*2</f>
        <v>0</v>
      </c>
      <c r="CA28" s="34">
        <f>SUM(BZ28,BX28)</f>
        <v>2</v>
      </c>
    </row>
    <row r="29" spans="1:79" ht="16.5" thickTop="1" thickBot="1" x14ac:dyDescent="0.3">
      <c r="A29" s="13">
        <v>6</v>
      </c>
      <c r="B29" s="41"/>
      <c r="C29" s="2">
        <f>BV28</f>
        <v>24</v>
      </c>
      <c r="D29" s="2"/>
      <c r="E29" s="2"/>
      <c r="F29" s="2">
        <v>1</v>
      </c>
      <c r="G29" s="2"/>
      <c r="H29" s="2"/>
      <c r="I29" s="2"/>
      <c r="J29" s="2">
        <v>1</v>
      </c>
      <c r="K29" s="2"/>
      <c r="L29" s="2">
        <v>1</v>
      </c>
      <c r="M29" s="2"/>
      <c r="N29" s="2"/>
      <c r="O29" s="2"/>
      <c r="P29" s="2">
        <v>1</v>
      </c>
      <c r="Q29" s="2"/>
      <c r="R29" s="3" t="s">
        <v>25</v>
      </c>
      <c r="S29" s="3" t="s">
        <v>25</v>
      </c>
      <c r="T29" s="3" t="s">
        <v>25</v>
      </c>
      <c r="U29" s="3" t="s">
        <v>25</v>
      </c>
      <c r="V29" s="3" t="s">
        <v>25</v>
      </c>
      <c r="W29" s="3" t="s">
        <v>25</v>
      </c>
      <c r="X29" s="3" t="s">
        <v>25</v>
      </c>
      <c r="Y29" s="3" t="s">
        <v>25</v>
      </c>
      <c r="Z29" s="3" t="s">
        <v>25</v>
      </c>
      <c r="AA29" s="3" t="s">
        <v>25</v>
      </c>
      <c r="AB29" s="3" t="s">
        <v>25</v>
      </c>
      <c r="AC29" s="3" t="s">
        <v>25</v>
      </c>
      <c r="AD29" s="3" t="s">
        <v>25</v>
      </c>
      <c r="AE29" s="3" t="s">
        <v>25</v>
      </c>
      <c r="AF29" s="2"/>
      <c r="AG29" s="2"/>
      <c r="AH29" s="2">
        <v>1</v>
      </c>
      <c r="AI29" s="2" t="s">
        <v>40</v>
      </c>
      <c r="AJ29" s="2"/>
      <c r="AK29" s="2"/>
      <c r="AL29" s="26" t="s">
        <v>49</v>
      </c>
      <c r="AM29" s="26"/>
      <c r="AN29" s="2"/>
      <c r="AO29" s="2"/>
      <c r="AP29" s="2">
        <v>1</v>
      </c>
      <c r="AQ29" s="2" t="s">
        <v>40</v>
      </c>
      <c r="AR29" s="2"/>
      <c r="AS29" s="2"/>
      <c r="AT29" s="2"/>
      <c r="AU29" s="2"/>
      <c r="AV29" s="2">
        <v>1</v>
      </c>
      <c r="AW29" s="2" t="s">
        <v>40</v>
      </c>
      <c r="AX29" s="26"/>
      <c r="AY29" s="26"/>
      <c r="AZ29" s="28" t="s">
        <v>25</v>
      </c>
      <c r="BA29" s="28" t="s">
        <v>25</v>
      </c>
      <c r="BB29" s="2"/>
      <c r="BC29" s="2"/>
      <c r="BD29" s="2" t="s">
        <v>40</v>
      </c>
      <c r="BE29" s="2" t="s">
        <v>40</v>
      </c>
      <c r="BF29" s="2"/>
      <c r="BG29" s="2"/>
      <c r="BH29" s="2">
        <v>1</v>
      </c>
      <c r="BI29" s="2"/>
      <c r="BJ29" s="2">
        <v>1</v>
      </c>
      <c r="BK29" s="2" t="s">
        <v>40</v>
      </c>
      <c r="BL29" s="3" t="s">
        <v>25</v>
      </c>
      <c r="BM29" s="3" t="s">
        <v>25</v>
      </c>
      <c r="BN29" s="28" t="s">
        <v>25</v>
      </c>
      <c r="BO29" s="28" t="s">
        <v>25</v>
      </c>
      <c r="BP29" s="2"/>
      <c r="BQ29" s="2"/>
      <c r="BR29" s="4">
        <f t="shared" si="16"/>
        <v>9</v>
      </c>
      <c r="BS29" s="34"/>
      <c r="BT29" s="4">
        <f t="shared" si="17"/>
        <v>0</v>
      </c>
      <c r="BU29" s="34"/>
      <c r="BV29" s="34"/>
      <c r="BW29" s="1">
        <f t="shared" si="20"/>
        <v>1</v>
      </c>
      <c r="BX29" s="34"/>
      <c r="BY29" s="1">
        <f t="shared" si="18"/>
        <v>0</v>
      </c>
      <c r="BZ29" s="34"/>
      <c r="CA29" s="34"/>
    </row>
    <row r="30" spans="1:79" ht="16.5" thickTop="1" thickBot="1" x14ac:dyDescent="0.3">
      <c r="A30" s="14">
        <f t="shared" si="19"/>
        <v>6</v>
      </c>
      <c r="B30" s="42"/>
      <c r="C30" s="23">
        <v>24</v>
      </c>
      <c r="D30" s="23"/>
      <c r="E30" s="23"/>
      <c r="F30" s="23">
        <v>1</v>
      </c>
      <c r="G30" s="23"/>
      <c r="H30" s="23"/>
      <c r="I30" s="23"/>
      <c r="J30" s="23"/>
      <c r="K30" s="23"/>
      <c r="L30" s="23">
        <v>1</v>
      </c>
      <c r="M30" s="23"/>
      <c r="N30" s="23"/>
      <c r="O30" s="23"/>
      <c r="P30" s="23"/>
      <c r="Q30" s="23"/>
      <c r="R30" s="3" t="s">
        <v>25</v>
      </c>
      <c r="S30" s="3" t="s">
        <v>25</v>
      </c>
      <c r="T30" s="3" t="s">
        <v>25</v>
      </c>
      <c r="U30" s="3" t="s">
        <v>25</v>
      </c>
      <c r="V30" s="3" t="s">
        <v>25</v>
      </c>
      <c r="W30" s="3" t="s">
        <v>25</v>
      </c>
      <c r="X30" s="3" t="s">
        <v>25</v>
      </c>
      <c r="Y30" s="3" t="s">
        <v>25</v>
      </c>
      <c r="Z30" s="3" t="s">
        <v>25</v>
      </c>
      <c r="AA30" s="3" t="s">
        <v>25</v>
      </c>
      <c r="AB30" s="3" t="s">
        <v>25</v>
      </c>
      <c r="AC30" s="3" t="s">
        <v>25</v>
      </c>
      <c r="AD30" s="3" t="s">
        <v>25</v>
      </c>
      <c r="AE30" s="3" t="s">
        <v>25</v>
      </c>
      <c r="AF30" s="23"/>
      <c r="AG30" s="23"/>
      <c r="AH30" s="23">
        <v>1</v>
      </c>
      <c r="AI30" s="23" t="s">
        <v>40</v>
      </c>
      <c r="AJ30" s="23"/>
      <c r="AK30" s="23"/>
      <c r="AL30" s="27"/>
      <c r="AM30" s="27"/>
      <c r="AN30" s="23"/>
      <c r="AO30" s="23"/>
      <c r="AP30" s="23">
        <v>1</v>
      </c>
      <c r="AQ30" s="23" t="s">
        <v>40</v>
      </c>
      <c r="AR30" s="23"/>
      <c r="AS30" s="23"/>
      <c r="AT30" s="23"/>
      <c r="AU30" s="23"/>
      <c r="AV30" s="23" t="s">
        <v>40</v>
      </c>
      <c r="AW30" s="23" t="s">
        <v>40</v>
      </c>
      <c r="AX30" s="27"/>
      <c r="AY30" s="27"/>
      <c r="AZ30" s="28" t="s">
        <v>25</v>
      </c>
      <c r="BA30" s="28" t="s">
        <v>25</v>
      </c>
      <c r="BB30" s="23"/>
      <c r="BC30" s="23"/>
      <c r="BD30" s="23">
        <v>1</v>
      </c>
      <c r="BE30" s="23" t="s">
        <v>40</v>
      </c>
      <c r="BF30" s="23"/>
      <c r="BG30" s="23"/>
      <c r="BH30" s="23"/>
      <c r="BI30" s="23"/>
      <c r="BJ30" s="23">
        <v>1</v>
      </c>
      <c r="BK30" s="23" t="s">
        <v>40</v>
      </c>
      <c r="BL30" s="3" t="s">
        <v>25</v>
      </c>
      <c r="BM30" s="3" t="s">
        <v>25</v>
      </c>
      <c r="BN30" s="28" t="s">
        <v>25</v>
      </c>
      <c r="BO30" s="28" t="s">
        <v>25</v>
      </c>
      <c r="BP30" s="23"/>
      <c r="BQ30" s="23"/>
      <c r="BR30" s="4">
        <f t="shared" si="16"/>
        <v>6</v>
      </c>
      <c r="BS30" s="35"/>
      <c r="BT30" s="4">
        <f t="shared" si="17"/>
        <v>0</v>
      </c>
      <c r="BU30" s="35"/>
      <c r="BV30" s="35"/>
      <c r="BW30" s="1">
        <f t="shared" si="20"/>
        <v>0</v>
      </c>
      <c r="BX30" s="35"/>
      <c r="BY30" s="1">
        <f t="shared" si="18"/>
        <v>0</v>
      </c>
      <c r="BZ30" s="35"/>
      <c r="CA30" s="35"/>
    </row>
    <row r="31" spans="1:79" ht="16.5" thickTop="1" thickBot="1" x14ac:dyDescent="0.3">
      <c r="A31" s="13" t="s">
        <v>47</v>
      </c>
      <c r="B31" s="41" t="s">
        <v>57</v>
      </c>
      <c r="C31" s="3">
        <f t="shared" si="21"/>
        <v>0</v>
      </c>
      <c r="D31" s="3"/>
      <c r="E31" s="3"/>
      <c r="F31" s="3" t="s">
        <v>25</v>
      </c>
      <c r="G31" s="3" t="s">
        <v>25</v>
      </c>
      <c r="H31" s="3" t="s">
        <v>25</v>
      </c>
      <c r="I31" s="3" t="s">
        <v>25</v>
      </c>
      <c r="J31" s="3" t="s">
        <v>25</v>
      </c>
      <c r="K31" s="3" t="s">
        <v>25</v>
      </c>
      <c r="L31" s="3" t="s">
        <v>25</v>
      </c>
      <c r="M31" s="3" t="s">
        <v>25</v>
      </c>
      <c r="N31" s="3" t="s">
        <v>25</v>
      </c>
      <c r="O31" s="3" t="s">
        <v>25</v>
      </c>
      <c r="P31" s="3" t="s">
        <v>25</v>
      </c>
      <c r="Q31" s="3" t="s">
        <v>25</v>
      </c>
      <c r="R31" s="3"/>
      <c r="S31" s="3"/>
      <c r="T31" s="3"/>
      <c r="U31" s="3"/>
      <c r="V31" s="3"/>
      <c r="W31" s="3"/>
      <c r="X31" s="3">
        <v>1</v>
      </c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>
        <v>1</v>
      </c>
      <c r="AK31" s="3"/>
      <c r="AL31" s="28"/>
      <c r="AM31" s="28"/>
      <c r="AN31" s="3">
        <v>1</v>
      </c>
      <c r="AO31" s="3"/>
      <c r="AP31" s="3"/>
      <c r="AQ31" s="3"/>
      <c r="AR31" s="3">
        <v>1</v>
      </c>
      <c r="AS31" s="3"/>
      <c r="AT31" s="3"/>
      <c r="AU31" s="3"/>
      <c r="AV31" s="28" t="s">
        <v>25</v>
      </c>
      <c r="AW31" s="28" t="s">
        <v>25</v>
      </c>
      <c r="AX31" s="28" t="s">
        <v>25</v>
      </c>
      <c r="AY31" s="28" t="s">
        <v>25</v>
      </c>
      <c r="AZ31" s="28" t="s">
        <v>25</v>
      </c>
      <c r="BA31" s="28" t="s">
        <v>25</v>
      </c>
      <c r="BB31" s="3"/>
      <c r="BC31" s="3"/>
      <c r="BD31" s="3"/>
      <c r="BE31" s="3"/>
      <c r="BF31" s="3">
        <v>1</v>
      </c>
      <c r="BG31" s="3"/>
      <c r="BH31" s="3"/>
      <c r="BI31" s="3"/>
      <c r="BJ31" s="3">
        <v>1</v>
      </c>
      <c r="BK31" s="3"/>
      <c r="BL31" s="3">
        <v>1</v>
      </c>
      <c r="BM31" s="3"/>
      <c r="BN31" s="28" t="s">
        <v>49</v>
      </c>
      <c r="BO31" s="28" t="s">
        <v>25</v>
      </c>
      <c r="BP31" s="3"/>
      <c r="BQ31" s="3"/>
      <c r="BR31" s="4">
        <f t="shared" si="16"/>
        <v>7</v>
      </c>
      <c r="BS31" s="36">
        <f t="shared" ref="BS31" si="50">BR31+BR32+BR33*2</f>
        <v>24</v>
      </c>
      <c r="BT31" s="4">
        <f t="shared" si="17"/>
        <v>0</v>
      </c>
      <c r="BU31" s="36">
        <f t="shared" ref="BU31" si="51">BT31+BT32+BT33*2</f>
        <v>0</v>
      </c>
      <c r="BV31" s="34">
        <f>SUM(BU31,BS31)</f>
        <v>24</v>
      </c>
      <c r="BW31" s="1">
        <f t="shared" si="20"/>
        <v>0</v>
      </c>
      <c r="BX31" s="34">
        <f t="shared" ref="BX31" si="52">BW31+BW32+BW33*2</f>
        <v>0</v>
      </c>
      <c r="BY31" s="1">
        <f t="shared" si="18"/>
        <v>0</v>
      </c>
      <c r="BZ31" s="34">
        <f t="shared" ref="BZ31" si="53">BY31+BY32+BY33*2</f>
        <v>0</v>
      </c>
      <c r="CA31" s="34">
        <f>SUM(BZ31,BX31)</f>
        <v>0</v>
      </c>
    </row>
    <row r="32" spans="1:79" ht="16.5" thickTop="1" thickBot="1" x14ac:dyDescent="0.3">
      <c r="A32" s="13">
        <v>4</v>
      </c>
      <c r="B32" s="41"/>
      <c r="C32" s="2">
        <f>BV31</f>
        <v>24</v>
      </c>
      <c r="D32" s="2"/>
      <c r="E32" s="2"/>
      <c r="F32" s="2" t="s">
        <v>25</v>
      </c>
      <c r="G32" s="2" t="s">
        <v>25</v>
      </c>
      <c r="H32" s="2" t="s">
        <v>25</v>
      </c>
      <c r="I32" s="2" t="s">
        <v>25</v>
      </c>
      <c r="J32" s="2" t="s">
        <v>25</v>
      </c>
      <c r="K32" s="2" t="s">
        <v>25</v>
      </c>
      <c r="L32" s="2" t="s">
        <v>25</v>
      </c>
      <c r="M32" s="2" t="s">
        <v>25</v>
      </c>
      <c r="N32" s="2" t="s">
        <v>25</v>
      </c>
      <c r="O32" s="2" t="s">
        <v>25</v>
      </c>
      <c r="P32" s="2" t="s">
        <v>25</v>
      </c>
      <c r="Q32" s="2" t="s">
        <v>25</v>
      </c>
      <c r="R32" s="2">
        <v>1</v>
      </c>
      <c r="S32" s="2"/>
      <c r="T32" s="2"/>
      <c r="U32" s="2"/>
      <c r="V32" s="2"/>
      <c r="W32" s="2"/>
      <c r="X32" s="2">
        <v>1</v>
      </c>
      <c r="Y32" s="2"/>
      <c r="Z32" s="2">
        <v>1</v>
      </c>
      <c r="AA32" s="2"/>
      <c r="AB32" s="2"/>
      <c r="AC32" s="2"/>
      <c r="AD32" s="2">
        <v>1</v>
      </c>
      <c r="AE32" s="2"/>
      <c r="AF32" s="2"/>
      <c r="AG32" s="2"/>
      <c r="AH32" s="2">
        <v>1</v>
      </c>
      <c r="AI32" s="2"/>
      <c r="AJ32" s="2">
        <v>1</v>
      </c>
      <c r="AK32" s="2"/>
      <c r="AL32" s="26"/>
      <c r="AM32" s="26"/>
      <c r="AN32" s="2"/>
      <c r="AO32" s="2"/>
      <c r="AP32" s="2"/>
      <c r="AQ32" s="2"/>
      <c r="AR32" s="2">
        <v>1</v>
      </c>
      <c r="AS32" s="2"/>
      <c r="AT32" s="2"/>
      <c r="AU32" s="2"/>
      <c r="AV32" s="28" t="s">
        <v>25</v>
      </c>
      <c r="AW32" s="28" t="s">
        <v>25</v>
      </c>
      <c r="AX32" s="28" t="s">
        <v>25</v>
      </c>
      <c r="AY32" s="28" t="s">
        <v>25</v>
      </c>
      <c r="AZ32" s="28" t="s">
        <v>25</v>
      </c>
      <c r="BA32" s="28" t="s">
        <v>25</v>
      </c>
      <c r="BB32" s="2"/>
      <c r="BC32" s="2"/>
      <c r="BD32" s="2"/>
      <c r="BE32" s="2"/>
      <c r="BF32" s="2">
        <v>1</v>
      </c>
      <c r="BG32" s="2"/>
      <c r="BH32" s="2"/>
      <c r="BI32" s="2"/>
      <c r="BJ32" s="2"/>
      <c r="BK32" s="2"/>
      <c r="BL32" s="2">
        <v>1</v>
      </c>
      <c r="BM32" s="2"/>
      <c r="BN32" s="26" t="s">
        <v>25</v>
      </c>
      <c r="BO32" s="26" t="s">
        <v>25</v>
      </c>
      <c r="BP32" s="2"/>
      <c r="BQ32" s="2"/>
      <c r="BR32" s="4">
        <f t="shared" si="16"/>
        <v>9</v>
      </c>
      <c r="BS32" s="34"/>
      <c r="BT32" s="4">
        <f t="shared" si="17"/>
        <v>0</v>
      </c>
      <c r="BU32" s="34"/>
      <c r="BV32" s="34"/>
      <c r="BW32" s="1">
        <f t="shared" si="20"/>
        <v>0</v>
      </c>
      <c r="BX32" s="34"/>
      <c r="BY32" s="1">
        <f t="shared" si="18"/>
        <v>0</v>
      </c>
      <c r="BZ32" s="34"/>
      <c r="CA32" s="34"/>
    </row>
    <row r="33" spans="1:79" ht="16.5" thickTop="1" thickBot="1" x14ac:dyDescent="0.3">
      <c r="A33" s="14">
        <f t="shared" si="19"/>
        <v>4</v>
      </c>
      <c r="B33" s="42"/>
      <c r="C33" s="23">
        <v>24</v>
      </c>
      <c r="D33" s="23"/>
      <c r="E33" s="23"/>
      <c r="F33" s="23" t="s">
        <v>25</v>
      </c>
      <c r="G33" s="23" t="s">
        <v>25</v>
      </c>
      <c r="H33" s="23" t="s">
        <v>25</v>
      </c>
      <c r="I33" s="23" t="s">
        <v>25</v>
      </c>
      <c r="J33" s="23" t="s">
        <v>25</v>
      </c>
      <c r="K33" s="23" t="s">
        <v>25</v>
      </c>
      <c r="L33" s="23" t="s">
        <v>25</v>
      </c>
      <c r="M33" s="23" t="s">
        <v>25</v>
      </c>
      <c r="N33" s="23" t="s">
        <v>25</v>
      </c>
      <c r="O33" s="23" t="s">
        <v>25</v>
      </c>
      <c r="P33" s="23" t="s">
        <v>25</v>
      </c>
      <c r="Q33" s="23" t="s">
        <v>25</v>
      </c>
      <c r="R33" s="23"/>
      <c r="S33" s="23"/>
      <c r="T33" s="23">
        <v>1</v>
      </c>
      <c r="U33" s="23"/>
      <c r="V33" s="23"/>
      <c r="W33" s="23"/>
      <c r="X33" s="23"/>
      <c r="Y33" s="23"/>
      <c r="Z33" s="23">
        <v>1</v>
      </c>
      <c r="AA33" s="23"/>
      <c r="AB33" s="23"/>
      <c r="AC33" s="23"/>
      <c r="AD33" s="23">
        <v>1</v>
      </c>
      <c r="AE33" s="23"/>
      <c r="AF33" s="23"/>
      <c r="AG33" s="23"/>
      <c r="AH33" s="23"/>
      <c r="AI33" s="23"/>
      <c r="AJ33" s="23"/>
      <c r="AK33" s="23"/>
      <c r="AL33" s="27"/>
      <c r="AM33" s="27"/>
      <c r="AN33" s="23"/>
      <c r="AO33" s="23"/>
      <c r="AP33" s="23"/>
      <c r="AQ33" s="23"/>
      <c r="AR33" s="23"/>
      <c r="AS33" s="23"/>
      <c r="AT33" s="23"/>
      <c r="AU33" s="23"/>
      <c r="AV33" s="28" t="s">
        <v>25</v>
      </c>
      <c r="AW33" s="28" t="s">
        <v>25</v>
      </c>
      <c r="AX33" s="28" t="s">
        <v>25</v>
      </c>
      <c r="AY33" s="28" t="s">
        <v>25</v>
      </c>
      <c r="AZ33" s="28" t="s">
        <v>25</v>
      </c>
      <c r="BA33" s="28" t="s">
        <v>25</v>
      </c>
      <c r="BB33" s="23">
        <v>1</v>
      </c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7" t="s">
        <v>25</v>
      </c>
      <c r="BO33" s="27" t="s">
        <v>25</v>
      </c>
      <c r="BP33" s="23"/>
      <c r="BQ33" s="23"/>
      <c r="BR33" s="4">
        <f t="shared" si="16"/>
        <v>4</v>
      </c>
      <c r="BS33" s="35"/>
      <c r="BT33" s="4">
        <f t="shared" si="17"/>
        <v>0</v>
      </c>
      <c r="BU33" s="35"/>
      <c r="BV33" s="35"/>
      <c r="BW33" s="1">
        <f t="shared" si="20"/>
        <v>0</v>
      </c>
      <c r="BX33" s="35"/>
      <c r="BY33" s="1">
        <f t="shared" si="18"/>
        <v>0</v>
      </c>
      <c r="BZ33" s="35"/>
      <c r="CA33" s="35"/>
    </row>
    <row r="34" spans="1:79" ht="16.5" thickTop="1" thickBot="1" x14ac:dyDescent="0.3">
      <c r="A34" s="13" t="s">
        <v>36</v>
      </c>
      <c r="B34" s="41" t="s">
        <v>58</v>
      </c>
      <c r="C34" s="3">
        <f t="shared" si="21"/>
        <v>3</v>
      </c>
      <c r="D34" s="3"/>
      <c r="E34" s="3"/>
      <c r="F34" s="22" t="s">
        <v>25</v>
      </c>
      <c r="G34" s="22" t="s">
        <v>25</v>
      </c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3" t="s">
        <v>25</v>
      </c>
      <c r="S34" s="3" t="s">
        <v>25</v>
      </c>
      <c r="T34" s="3" t="s">
        <v>25</v>
      </c>
      <c r="U34" s="3" t="s">
        <v>25</v>
      </c>
      <c r="V34" s="3" t="s">
        <v>25</v>
      </c>
      <c r="W34" s="3" t="s">
        <v>25</v>
      </c>
      <c r="X34" s="3" t="s">
        <v>25</v>
      </c>
      <c r="Y34" s="3" t="s">
        <v>25</v>
      </c>
      <c r="Z34" s="3" t="s">
        <v>25</v>
      </c>
      <c r="AA34" s="3" t="s">
        <v>25</v>
      </c>
      <c r="AB34" s="3" t="s">
        <v>25</v>
      </c>
      <c r="AC34" s="3" t="s">
        <v>25</v>
      </c>
      <c r="AD34" s="3" t="s">
        <v>25</v>
      </c>
      <c r="AE34" s="3" t="s">
        <v>25</v>
      </c>
      <c r="AF34" s="3" t="s">
        <v>25</v>
      </c>
      <c r="AG34" s="3" t="s">
        <v>25</v>
      </c>
      <c r="AH34" s="3"/>
      <c r="AI34" s="3"/>
      <c r="AJ34" s="3"/>
      <c r="AK34" s="3"/>
      <c r="AL34" s="28"/>
      <c r="AM34" s="28"/>
      <c r="AN34" s="3"/>
      <c r="AO34" s="3"/>
      <c r="AP34" s="3"/>
      <c r="AQ34" s="3"/>
      <c r="AR34" s="3"/>
      <c r="AS34" s="3"/>
      <c r="AT34" s="3" t="s">
        <v>49</v>
      </c>
      <c r="AU34" s="3"/>
      <c r="AV34" s="28"/>
      <c r="AW34" s="28"/>
      <c r="AX34" s="28"/>
      <c r="AY34" s="28"/>
      <c r="AZ34" s="28"/>
      <c r="BA34" s="28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 t="s">
        <v>25</v>
      </c>
      <c r="BM34" s="3" t="s">
        <v>25</v>
      </c>
      <c r="BN34" s="28"/>
      <c r="BO34" s="28"/>
      <c r="BP34" s="3"/>
      <c r="BQ34" s="3"/>
      <c r="BR34" s="4">
        <f t="shared" si="16"/>
        <v>0</v>
      </c>
      <c r="BS34" s="36">
        <f t="shared" ref="BS34" si="54">BR34+BR35+BR36*2</f>
        <v>20</v>
      </c>
      <c r="BT34" s="4">
        <f t="shared" si="17"/>
        <v>0</v>
      </c>
      <c r="BU34" s="36">
        <f t="shared" ref="BU34" si="55">BT34+BT35+BT36*2</f>
        <v>0</v>
      </c>
      <c r="BV34" s="34">
        <f>SUM(BU34,BS34)</f>
        <v>20</v>
      </c>
      <c r="BW34" s="1">
        <f t="shared" si="20"/>
        <v>0</v>
      </c>
      <c r="BX34" s="34">
        <f t="shared" ref="BX34" si="56">BW34+BW35+BW36*2</f>
        <v>3</v>
      </c>
      <c r="BY34" s="1">
        <f t="shared" si="18"/>
        <v>0</v>
      </c>
      <c r="BZ34" s="34">
        <f t="shared" ref="BZ34" si="57">BY34+BY35+BY36*2</f>
        <v>0</v>
      </c>
      <c r="CA34" s="34">
        <f>SUM(BZ34,BX34)</f>
        <v>3</v>
      </c>
    </row>
    <row r="35" spans="1:79" ht="16.5" thickTop="1" thickBot="1" x14ac:dyDescent="0.3">
      <c r="A35" s="13">
        <v>6</v>
      </c>
      <c r="B35" s="41"/>
      <c r="C35" s="2">
        <f>BV34</f>
        <v>20</v>
      </c>
      <c r="D35" s="2"/>
      <c r="E35" s="2"/>
      <c r="F35" s="2" t="s">
        <v>25</v>
      </c>
      <c r="G35" s="2" t="s">
        <v>25</v>
      </c>
      <c r="H35" s="2">
        <v>1</v>
      </c>
      <c r="I35" s="2"/>
      <c r="J35" s="2">
        <v>1</v>
      </c>
      <c r="K35" s="2"/>
      <c r="L35" s="2"/>
      <c r="M35" s="2"/>
      <c r="N35" s="2">
        <v>1</v>
      </c>
      <c r="O35" s="2"/>
      <c r="P35" s="2"/>
      <c r="Q35" s="2"/>
      <c r="R35" s="3" t="s">
        <v>25</v>
      </c>
      <c r="S35" s="3" t="s">
        <v>25</v>
      </c>
      <c r="T35" s="3" t="s">
        <v>25</v>
      </c>
      <c r="U35" s="3" t="s">
        <v>25</v>
      </c>
      <c r="V35" s="3" t="s">
        <v>25</v>
      </c>
      <c r="W35" s="3" t="s">
        <v>25</v>
      </c>
      <c r="X35" s="3" t="s">
        <v>25</v>
      </c>
      <c r="Y35" s="3" t="s">
        <v>25</v>
      </c>
      <c r="Z35" s="3" t="s">
        <v>25</v>
      </c>
      <c r="AA35" s="3" t="s">
        <v>25</v>
      </c>
      <c r="AB35" s="3" t="s">
        <v>25</v>
      </c>
      <c r="AC35" s="3" t="s">
        <v>25</v>
      </c>
      <c r="AD35" s="3" t="s">
        <v>25</v>
      </c>
      <c r="AE35" s="3" t="s">
        <v>25</v>
      </c>
      <c r="AF35" s="3" t="s">
        <v>25</v>
      </c>
      <c r="AG35" s="3" t="s">
        <v>25</v>
      </c>
      <c r="AH35" s="2">
        <v>1</v>
      </c>
      <c r="AI35" s="2"/>
      <c r="AJ35" s="2"/>
      <c r="AK35" s="2"/>
      <c r="AL35" s="26"/>
      <c r="AM35" s="26"/>
      <c r="AN35" s="2">
        <v>1</v>
      </c>
      <c r="AO35" s="2" t="s">
        <v>40</v>
      </c>
      <c r="AP35" s="2"/>
      <c r="AQ35" s="2"/>
      <c r="AR35" s="2" t="s">
        <v>40</v>
      </c>
      <c r="AS35" s="2" t="s">
        <v>40</v>
      </c>
      <c r="AT35" s="2"/>
      <c r="AU35" s="2"/>
      <c r="AV35" s="26"/>
      <c r="AW35" s="26"/>
      <c r="AX35" s="26"/>
      <c r="AY35" s="26"/>
      <c r="AZ35" s="26"/>
      <c r="BA35" s="26"/>
      <c r="BB35" s="2" t="s">
        <v>40</v>
      </c>
      <c r="BC35" s="2" t="s">
        <v>40</v>
      </c>
      <c r="BD35" s="2"/>
      <c r="BE35" s="2"/>
      <c r="BF35" s="2">
        <v>1</v>
      </c>
      <c r="BG35" s="2" t="s">
        <v>40</v>
      </c>
      <c r="BH35" s="2"/>
      <c r="BI35" s="2"/>
      <c r="BJ35" s="2">
        <v>1</v>
      </c>
      <c r="BK35" s="2"/>
      <c r="BL35" s="2" t="s">
        <v>25</v>
      </c>
      <c r="BM35" s="2" t="s">
        <v>25</v>
      </c>
      <c r="BN35" s="26">
        <v>1</v>
      </c>
      <c r="BO35" s="26"/>
      <c r="BP35" s="2"/>
      <c r="BQ35" s="2"/>
      <c r="BR35" s="4">
        <f t="shared" si="16"/>
        <v>8</v>
      </c>
      <c r="BS35" s="34"/>
      <c r="BT35" s="4">
        <f t="shared" si="17"/>
        <v>0</v>
      </c>
      <c r="BU35" s="34"/>
      <c r="BV35" s="34"/>
      <c r="BW35" s="1">
        <f t="shared" si="20"/>
        <v>1</v>
      </c>
      <c r="BX35" s="34"/>
      <c r="BY35" s="1">
        <f t="shared" si="18"/>
        <v>0</v>
      </c>
      <c r="BZ35" s="34"/>
      <c r="CA35" s="34"/>
    </row>
    <row r="36" spans="1:79" ht="16.5" thickTop="1" thickBot="1" x14ac:dyDescent="0.3">
      <c r="A36" s="14">
        <f t="shared" si="19"/>
        <v>6</v>
      </c>
      <c r="B36" s="42"/>
      <c r="C36" s="23">
        <v>20</v>
      </c>
      <c r="D36" s="23"/>
      <c r="E36" s="23"/>
      <c r="F36" s="23" t="s">
        <v>25</v>
      </c>
      <c r="G36" s="23" t="s">
        <v>25</v>
      </c>
      <c r="H36" s="23"/>
      <c r="I36" s="23"/>
      <c r="J36" s="23">
        <v>1</v>
      </c>
      <c r="K36" s="23"/>
      <c r="L36" s="23"/>
      <c r="M36" s="23"/>
      <c r="N36" s="23">
        <v>1</v>
      </c>
      <c r="O36" s="23"/>
      <c r="P36" s="23"/>
      <c r="Q36" s="23"/>
      <c r="R36" s="3" t="s">
        <v>25</v>
      </c>
      <c r="S36" s="3" t="s">
        <v>25</v>
      </c>
      <c r="T36" s="3" t="s">
        <v>25</v>
      </c>
      <c r="U36" s="3" t="s">
        <v>25</v>
      </c>
      <c r="V36" s="3" t="s">
        <v>25</v>
      </c>
      <c r="W36" s="3" t="s">
        <v>25</v>
      </c>
      <c r="X36" s="3" t="s">
        <v>25</v>
      </c>
      <c r="Y36" s="3" t="s">
        <v>25</v>
      </c>
      <c r="Z36" s="3" t="s">
        <v>25</v>
      </c>
      <c r="AA36" s="3" t="s">
        <v>25</v>
      </c>
      <c r="AB36" s="3" t="s">
        <v>25</v>
      </c>
      <c r="AC36" s="3" t="s">
        <v>25</v>
      </c>
      <c r="AD36" s="3" t="s">
        <v>25</v>
      </c>
      <c r="AE36" s="3" t="s">
        <v>25</v>
      </c>
      <c r="AF36" s="3" t="s">
        <v>25</v>
      </c>
      <c r="AG36" s="3" t="s">
        <v>25</v>
      </c>
      <c r="AH36" s="23"/>
      <c r="AI36" s="23"/>
      <c r="AJ36" s="23"/>
      <c r="AK36" s="23"/>
      <c r="AL36" s="27"/>
      <c r="AM36" s="27"/>
      <c r="AN36" s="23">
        <v>1</v>
      </c>
      <c r="AO36" s="23" t="s">
        <v>40</v>
      </c>
      <c r="AP36" s="23"/>
      <c r="AQ36" s="23"/>
      <c r="AR36" s="23" t="s">
        <v>40</v>
      </c>
      <c r="AS36" s="23" t="s">
        <v>40</v>
      </c>
      <c r="AT36" s="23"/>
      <c r="AU36" s="23"/>
      <c r="AV36" s="27"/>
      <c r="AW36" s="27"/>
      <c r="AX36" s="27">
        <v>1</v>
      </c>
      <c r="AY36" s="27"/>
      <c r="AZ36" s="27"/>
      <c r="BA36" s="27"/>
      <c r="BB36" s="23">
        <v>1</v>
      </c>
      <c r="BC36" s="23" t="s">
        <v>40</v>
      </c>
      <c r="BD36" s="23"/>
      <c r="BE36" s="23"/>
      <c r="BF36" s="23">
        <v>1</v>
      </c>
      <c r="BG36" s="23" t="s">
        <v>40</v>
      </c>
      <c r="BH36" s="23"/>
      <c r="BI36" s="23"/>
      <c r="BJ36" s="23"/>
      <c r="BK36" s="23"/>
      <c r="BL36" s="23" t="s">
        <v>25</v>
      </c>
      <c r="BM36" s="23" t="s">
        <v>25</v>
      </c>
      <c r="BN36" s="27"/>
      <c r="BO36" s="27"/>
      <c r="BP36" s="23"/>
      <c r="BQ36" s="23"/>
      <c r="BR36" s="4">
        <f t="shared" si="16"/>
        <v>6</v>
      </c>
      <c r="BS36" s="35"/>
      <c r="BT36" s="4">
        <f t="shared" si="17"/>
        <v>0</v>
      </c>
      <c r="BU36" s="35"/>
      <c r="BV36" s="35"/>
      <c r="BW36" s="1">
        <f t="shared" si="20"/>
        <v>1</v>
      </c>
      <c r="BX36" s="35"/>
      <c r="BY36" s="1">
        <f t="shared" si="18"/>
        <v>0</v>
      </c>
      <c r="BZ36" s="35"/>
      <c r="CA36" s="35"/>
    </row>
    <row r="37" spans="1:79" ht="16.5" thickTop="1" thickBot="1" x14ac:dyDescent="0.3">
      <c r="A37" s="13" t="s">
        <v>37</v>
      </c>
      <c r="B37" s="45" t="s">
        <v>59</v>
      </c>
      <c r="C37" s="3">
        <f t="shared" si="21"/>
        <v>7</v>
      </c>
      <c r="D37" s="3"/>
      <c r="E37" s="3"/>
      <c r="F37" s="22">
        <v>1</v>
      </c>
      <c r="G37" s="22"/>
      <c r="H37" s="22"/>
      <c r="I37" s="22"/>
      <c r="J37" s="22">
        <v>1</v>
      </c>
      <c r="K37" s="22"/>
      <c r="L37" s="22"/>
      <c r="M37" s="22"/>
      <c r="N37" s="22">
        <v>1</v>
      </c>
      <c r="O37" s="22"/>
      <c r="P37" s="22"/>
      <c r="Q37" s="22"/>
      <c r="R37" s="22" t="s">
        <v>25</v>
      </c>
      <c r="S37" s="22" t="s">
        <v>25</v>
      </c>
      <c r="T37" s="22" t="s">
        <v>25</v>
      </c>
      <c r="U37" s="22" t="s">
        <v>25</v>
      </c>
      <c r="V37" s="22" t="s">
        <v>25</v>
      </c>
      <c r="W37" s="22" t="s">
        <v>25</v>
      </c>
      <c r="X37" s="22" t="s">
        <v>25</v>
      </c>
      <c r="Y37" s="22" t="s">
        <v>25</v>
      </c>
      <c r="Z37" s="22" t="s">
        <v>25</v>
      </c>
      <c r="AA37" s="22" t="s">
        <v>25</v>
      </c>
      <c r="AB37" s="22" t="s">
        <v>25</v>
      </c>
      <c r="AC37" s="22" t="s">
        <v>25</v>
      </c>
      <c r="AD37" s="22" t="s">
        <v>25</v>
      </c>
      <c r="AE37" s="22" t="s">
        <v>25</v>
      </c>
      <c r="AF37" s="22"/>
      <c r="AG37" s="22"/>
      <c r="AH37" s="22" t="s">
        <v>25</v>
      </c>
      <c r="AI37" s="22" t="s">
        <v>25</v>
      </c>
      <c r="AJ37" s="2"/>
      <c r="AK37" s="2"/>
      <c r="AL37" s="28">
        <v>1</v>
      </c>
      <c r="AM37" s="28"/>
      <c r="AN37" s="3" t="s">
        <v>25</v>
      </c>
      <c r="AO37" s="3" t="s">
        <v>25</v>
      </c>
      <c r="AP37" s="3" t="s">
        <v>25</v>
      </c>
      <c r="AQ37" s="3" t="s">
        <v>25</v>
      </c>
      <c r="AR37" s="3" t="s">
        <v>25</v>
      </c>
      <c r="AS37" s="3" t="s">
        <v>25</v>
      </c>
      <c r="AT37" s="3">
        <v>1</v>
      </c>
      <c r="AU37" s="3"/>
      <c r="AV37" s="28">
        <v>1</v>
      </c>
      <c r="AW37" s="28"/>
      <c r="AX37" s="26">
        <v>1</v>
      </c>
      <c r="AY37" s="26"/>
      <c r="AZ37" s="28"/>
      <c r="BA37" s="28"/>
      <c r="BB37" s="3" t="s">
        <v>49</v>
      </c>
      <c r="BC37" s="3" t="s">
        <v>25</v>
      </c>
      <c r="BD37" s="3" t="s">
        <v>25</v>
      </c>
      <c r="BE37" s="3" t="s">
        <v>25</v>
      </c>
      <c r="BF37" s="3" t="s">
        <v>25</v>
      </c>
      <c r="BG37" s="3" t="s">
        <v>25</v>
      </c>
      <c r="BH37" s="3">
        <v>1</v>
      </c>
      <c r="BI37" s="3"/>
      <c r="BJ37" s="3" t="s">
        <v>25</v>
      </c>
      <c r="BK37" s="3" t="s">
        <v>25</v>
      </c>
      <c r="BL37" s="3" t="s">
        <v>25</v>
      </c>
      <c r="BM37" s="3" t="s">
        <v>25</v>
      </c>
      <c r="BN37" s="28">
        <v>1</v>
      </c>
      <c r="BO37" s="28"/>
      <c r="BP37" s="3"/>
      <c r="BQ37" s="3"/>
      <c r="BR37" s="4">
        <f t="shared" si="16"/>
        <v>9</v>
      </c>
      <c r="BS37" s="36">
        <f t="shared" ref="BS37" si="58">BR37+BR38+BR39*2</f>
        <v>24</v>
      </c>
      <c r="BT37" s="4">
        <f t="shared" si="17"/>
        <v>0</v>
      </c>
      <c r="BU37" s="36">
        <f t="shared" ref="BU37" si="59">BT37+BT38+BT39*2</f>
        <v>0</v>
      </c>
      <c r="BV37" s="34">
        <f>SUM(BU37,BS37)</f>
        <v>24</v>
      </c>
      <c r="BW37" s="1">
        <f t="shared" si="20"/>
        <v>4</v>
      </c>
      <c r="BX37" s="34">
        <f t="shared" ref="BX37" si="60">BW37+BW38+BW39*2</f>
        <v>7</v>
      </c>
      <c r="BY37" s="1">
        <f t="shared" si="18"/>
        <v>0</v>
      </c>
      <c r="BZ37" s="34">
        <f t="shared" ref="BZ37" si="61">BY37+BY38+BY39*2</f>
        <v>0</v>
      </c>
      <c r="CA37" s="34">
        <f>SUM(BZ37,BX37)</f>
        <v>7</v>
      </c>
    </row>
    <row r="38" spans="1:79" ht="16.5" thickTop="1" thickBot="1" x14ac:dyDescent="0.3">
      <c r="A38" s="13">
        <v>6</v>
      </c>
      <c r="B38" s="46"/>
      <c r="C38" s="2">
        <f>BV37</f>
        <v>24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 t="s">
        <v>25</v>
      </c>
      <c r="S38" s="2" t="s">
        <v>25</v>
      </c>
      <c r="T38" s="2" t="s">
        <v>25</v>
      </c>
      <c r="U38" s="2" t="s">
        <v>25</v>
      </c>
      <c r="V38" s="2" t="s">
        <v>25</v>
      </c>
      <c r="W38" s="2" t="s">
        <v>25</v>
      </c>
      <c r="X38" s="2" t="s">
        <v>25</v>
      </c>
      <c r="Y38" s="2" t="s">
        <v>25</v>
      </c>
      <c r="Z38" s="2" t="s">
        <v>25</v>
      </c>
      <c r="AA38" s="2" t="s">
        <v>25</v>
      </c>
      <c r="AB38" s="2" t="s">
        <v>25</v>
      </c>
      <c r="AC38" s="2" t="s">
        <v>25</v>
      </c>
      <c r="AD38" s="2" t="s">
        <v>25</v>
      </c>
      <c r="AE38" s="2" t="s">
        <v>25</v>
      </c>
      <c r="AF38" s="2"/>
      <c r="AG38" s="2"/>
      <c r="AH38" s="2" t="s">
        <v>25</v>
      </c>
      <c r="AI38" s="2" t="s">
        <v>25</v>
      </c>
      <c r="AJ38" s="2"/>
      <c r="AK38" s="2"/>
      <c r="AL38" s="26"/>
      <c r="AM38" s="26"/>
      <c r="AN38" s="2" t="s">
        <v>25</v>
      </c>
      <c r="AO38" s="2" t="s">
        <v>25</v>
      </c>
      <c r="AP38" s="2"/>
      <c r="AQ38" s="2"/>
      <c r="AR38" s="2"/>
      <c r="AS38" s="2"/>
      <c r="AT38" s="2">
        <v>1</v>
      </c>
      <c r="AU38" s="2"/>
      <c r="AV38" s="26"/>
      <c r="AW38" s="26"/>
      <c r="AX38" s="26"/>
      <c r="AY38" s="26"/>
      <c r="AZ38" s="26"/>
      <c r="BA38" s="26"/>
      <c r="BB38" s="2" t="s">
        <v>25</v>
      </c>
      <c r="BC38" s="2" t="s">
        <v>25</v>
      </c>
      <c r="BD38" s="2">
        <v>1</v>
      </c>
      <c r="BE38" s="2"/>
      <c r="BF38" s="2"/>
      <c r="BG38" s="2"/>
      <c r="BH38" s="2"/>
      <c r="BI38" s="2"/>
      <c r="BJ38" s="3" t="s">
        <v>25</v>
      </c>
      <c r="BK38" s="3" t="s">
        <v>25</v>
      </c>
      <c r="BL38" s="3" t="s">
        <v>25</v>
      </c>
      <c r="BM38" s="3" t="s">
        <v>25</v>
      </c>
      <c r="BN38" s="26">
        <v>1</v>
      </c>
      <c r="BO38" s="26"/>
      <c r="BP38" s="2"/>
      <c r="BQ38" s="2"/>
      <c r="BR38" s="4">
        <f t="shared" si="16"/>
        <v>3</v>
      </c>
      <c r="BS38" s="34"/>
      <c r="BT38" s="4">
        <f t="shared" si="17"/>
        <v>0</v>
      </c>
      <c r="BU38" s="34"/>
      <c r="BV38" s="34"/>
      <c r="BW38" s="1">
        <f t="shared" si="20"/>
        <v>1</v>
      </c>
      <c r="BX38" s="34"/>
      <c r="BY38" s="1">
        <f t="shared" si="18"/>
        <v>0</v>
      </c>
      <c r="BZ38" s="34"/>
      <c r="CA38" s="34"/>
    </row>
    <row r="39" spans="1:79" ht="16.5" thickTop="1" thickBot="1" x14ac:dyDescent="0.3">
      <c r="A39" s="14">
        <f t="shared" si="19"/>
        <v>6</v>
      </c>
      <c r="B39" s="47"/>
      <c r="C39" s="23">
        <v>24</v>
      </c>
      <c r="D39" s="23"/>
      <c r="E39" s="23"/>
      <c r="F39" s="23">
        <v>1</v>
      </c>
      <c r="G39" s="23"/>
      <c r="H39" s="23"/>
      <c r="I39" s="23"/>
      <c r="J39" s="23">
        <v>1</v>
      </c>
      <c r="K39" s="23"/>
      <c r="L39" s="23"/>
      <c r="M39" s="23"/>
      <c r="N39" s="23">
        <v>1</v>
      </c>
      <c r="O39" s="23"/>
      <c r="P39" s="23"/>
      <c r="Q39" s="23"/>
      <c r="R39" s="23" t="s">
        <v>25</v>
      </c>
      <c r="S39" s="23" t="s">
        <v>25</v>
      </c>
      <c r="T39" s="23" t="s">
        <v>25</v>
      </c>
      <c r="U39" s="23" t="s">
        <v>25</v>
      </c>
      <c r="V39" s="23" t="s">
        <v>25</v>
      </c>
      <c r="W39" s="23" t="s">
        <v>25</v>
      </c>
      <c r="X39" s="23" t="s">
        <v>25</v>
      </c>
      <c r="Y39" s="23" t="s">
        <v>25</v>
      </c>
      <c r="Z39" s="23" t="s">
        <v>25</v>
      </c>
      <c r="AA39" s="23" t="s">
        <v>25</v>
      </c>
      <c r="AB39" s="23" t="s">
        <v>25</v>
      </c>
      <c r="AC39" s="23" t="s">
        <v>25</v>
      </c>
      <c r="AD39" s="23" t="s">
        <v>25</v>
      </c>
      <c r="AE39" s="23" t="s">
        <v>25</v>
      </c>
      <c r="AF39" s="23">
        <v>1</v>
      </c>
      <c r="AG39" s="23"/>
      <c r="AH39" s="23" t="s">
        <v>25</v>
      </c>
      <c r="AI39" s="23" t="s">
        <v>25</v>
      </c>
      <c r="AJ39" s="23"/>
      <c r="AK39" s="23"/>
      <c r="AL39" s="27"/>
      <c r="AM39" s="27"/>
      <c r="AN39" s="23"/>
      <c r="AO39" s="23"/>
      <c r="AP39" s="23"/>
      <c r="AQ39" s="23"/>
      <c r="AR39" s="23"/>
      <c r="AS39" s="23"/>
      <c r="AT39" s="23"/>
      <c r="AU39" s="23"/>
      <c r="AV39" s="27"/>
      <c r="AW39" s="27"/>
      <c r="AX39" s="27">
        <v>1</v>
      </c>
      <c r="AY39" s="27"/>
      <c r="AZ39" s="27"/>
      <c r="BA39" s="27"/>
      <c r="BB39" s="23"/>
      <c r="BC39" s="23"/>
      <c r="BD39" s="23"/>
      <c r="BE39" s="23"/>
      <c r="BF39" s="23"/>
      <c r="BG39" s="23"/>
      <c r="BH39" s="23">
        <v>1</v>
      </c>
      <c r="BI39" s="23"/>
      <c r="BJ39" s="3" t="s">
        <v>25</v>
      </c>
      <c r="BK39" s="3" t="s">
        <v>25</v>
      </c>
      <c r="BL39" s="3" t="s">
        <v>25</v>
      </c>
      <c r="BM39" s="3" t="s">
        <v>25</v>
      </c>
      <c r="BN39" s="27"/>
      <c r="BO39" s="27"/>
      <c r="BP39" s="23"/>
      <c r="BQ39" s="23"/>
      <c r="BR39" s="4">
        <f t="shared" si="16"/>
        <v>6</v>
      </c>
      <c r="BS39" s="35"/>
      <c r="BT39" s="4">
        <f t="shared" si="17"/>
        <v>0</v>
      </c>
      <c r="BU39" s="35"/>
      <c r="BV39" s="35"/>
      <c r="BW39" s="1">
        <f t="shared" si="20"/>
        <v>1</v>
      </c>
      <c r="BX39" s="35"/>
      <c r="BY39" s="1">
        <f t="shared" si="18"/>
        <v>0</v>
      </c>
      <c r="BZ39" s="35"/>
      <c r="CA39" s="35"/>
    </row>
    <row r="40" spans="1:79" ht="16.5" thickTop="1" thickBot="1" x14ac:dyDescent="0.3">
      <c r="A40" s="13" t="s">
        <v>44</v>
      </c>
      <c r="B40" s="45" t="s">
        <v>60</v>
      </c>
      <c r="C40" s="3">
        <f t="shared" si="21"/>
        <v>0</v>
      </c>
      <c r="D40" s="3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3"/>
      <c r="R40" s="3"/>
      <c r="S40" s="3"/>
      <c r="T40" s="3"/>
      <c r="U40" s="3"/>
      <c r="V40" s="3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3"/>
      <c r="AJ40" s="3"/>
      <c r="AK40" s="3"/>
      <c r="AL40" s="28"/>
      <c r="AM40" s="28"/>
      <c r="AN40" s="3"/>
      <c r="AO40" s="3"/>
      <c r="AP40" s="3"/>
      <c r="AQ40" s="3"/>
      <c r="AR40" s="3"/>
      <c r="AS40" s="3"/>
      <c r="AT40" s="3"/>
      <c r="AU40" s="3"/>
      <c r="AV40" s="28"/>
      <c r="AW40" s="28"/>
      <c r="AX40" s="28"/>
      <c r="AY40" s="28"/>
      <c r="AZ40" s="28"/>
      <c r="BA40" s="28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28"/>
      <c r="BO40" s="28"/>
      <c r="BP40" s="3"/>
      <c r="BQ40" s="3"/>
      <c r="BR40" s="4">
        <f t="shared" si="16"/>
        <v>0</v>
      </c>
      <c r="BS40" s="36">
        <f t="shared" ref="BS40" si="62">BR40+BR41+BR42*2</f>
        <v>0</v>
      </c>
      <c r="BT40" s="4">
        <f t="shared" si="17"/>
        <v>0</v>
      </c>
      <c r="BU40" s="36">
        <f t="shared" ref="BU40" si="63">BT40+BT41+BT42*2</f>
        <v>0</v>
      </c>
      <c r="BV40" s="34">
        <f>SUM(BU40,BS40)</f>
        <v>0</v>
      </c>
      <c r="BW40" s="1">
        <f t="shared" si="20"/>
        <v>0</v>
      </c>
      <c r="BX40" s="34">
        <f t="shared" ref="BX40" si="64">BW40+BW41+BW42*2</f>
        <v>0</v>
      </c>
      <c r="BY40" s="1">
        <f t="shared" si="18"/>
        <v>0</v>
      </c>
      <c r="BZ40" s="34">
        <f t="shared" ref="BZ40" si="65">BY40+BY41+BY42*2</f>
        <v>0</v>
      </c>
      <c r="CA40" s="34">
        <f>SUM(BZ40,BX40)</f>
        <v>0</v>
      </c>
    </row>
    <row r="41" spans="1:79" ht="16.5" thickTop="1" thickBot="1" x14ac:dyDescent="0.3">
      <c r="A41" s="13">
        <v>0</v>
      </c>
      <c r="B41" s="46"/>
      <c r="C41" s="2">
        <f>BV40</f>
        <v>0</v>
      </c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3"/>
      <c r="S41" s="3"/>
      <c r="T41" s="3"/>
      <c r="U41" s="3"/>
      <c r="V41" s="3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6"/>
      <c r="AM41" s="26"/>
      <c r="AN41" s="2"/>
      <c r="AO41" s="2"/>
      <c r="AP41" s="2"/>
      <c r="AQ41" s="2"/>
      <c r="AR41" s="2"/>
      <c r="AS41" s="2"/>
      <c r="AT41" s="2"/>
      <c r="AU41" s="2"/>
      <c r="AV41" s="26"/>
      <c r="AW41" s="26"/>
      <c r="AX41" s="26"/>
      <c r="AY41" s="26"/>
      <c r="AZ41" s="26"/>
      <c r="BA41" s="26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6"/>
      <c r="BO41" s="26"/>
      <c r="BP41" s="2"/>
      <c r="BQ41" s="2"/>
      <c r="BR41" s="4">
        <f t="shared" si="16"/>
        <v>0</v>
      </c>
      <c r="BS41" s="34"/>
      <c r="BT41" s="4">
        <f t="shared" si="17"/>
        <v>0</v>
      </c>
      <c r="BU41" s="34"/>
      <c r="BV41" s="34"/>
      <c r="BW41" s="1">
        <f t="shared" si="20"/>
        <v>0</v>
      </c>
      <c r="BX41" s="34"/>
      <c r="BY41" s="1">
        <f t="shared" si="18"/>
        <v>0</v>
      </c>
      <c r="BZ41" s="34"/>
      <c r="CA41" s="34"/>
    </row>
    <row r="42" spans="1:79" ht="16.5" thickTop="1" thickBot="1" x14ac:dyDescent="0.3">
      <c r="A42" s="14">
        <f t="shared" si="19"/>
        <v>0</v>
      </c>
      <c r="B42" s="47"/>
      <c r="C42" s="23">
        <v>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7"/>
      <c r="AM42" s="27"/>
      <c r="AN42" s="23"/>
      <c r="AO42" s="23"/>
      <c r="AP42" s="23"/>
      <c r="AQ42" s="23"/>
      <c r="AR42" s="23"/>
      <c r="AS42" s="23"/>
      <c r="AT42" s="23"/>
      <c r="AU42" s="23"/>
      <c r="AV42" s="27"/>
      <c r="AW42" s="27"/>
      <c r="AX42" s="27"/>
      <c r="AY42" s="27"/>
      <c r="AZ42" s="27"/>
      <c r="BA42" s="27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7"/>
      <c r="BO42" s="27"/>
      <c r="BP42" s="23"/>
      <c r="BQ42" s="23"/>
      <c r="BR42" s="4">
        <f t="shared" si="16"/>
        <v>0</v>
      </c>
      <c r="BS42" s="35"/>
      <c r="BT42" s="4">
        <f t="shared" si="17"/>
        <v>0</v>
      </c>
      <c r="BU42" s="35"/>
      <c r="BV42" s="35"/>
      <c r="BW42" s="1">
        <f t="shared" si="20"/>
        <v>0</v>
      </c>
      <c r="BX42" s="35"/>
      <c r="BY42" s="1">
        <f t="shared" si="18"/>
        <v>0</v>
      </c>
      <c r="BZ42" s="35"/>
      <c r="CA42" s="35"/>
    </row>
    <row r="43" spans="1:79" ht="16.5" thickTop="1" thickBot="1" x14ac:dyDescent="0.3">
      <c r="A43" s="13" t="s">
        <v>37</v>
      </c>
      <c r="B43" s="40" t="s">
        <v>61</v>
      </c>
      <c r="C43" s="3">
        <f t="shared" si="21"/>
        <v>8</v>
      </c>
      <c r="D43" s="3"/>
      <c r="E43" s="3"/>
      <c r="F43" s="3"/>
      <c r="G43" s="3"/>
      <c r="H43" s="3"/>
      <c r="I43" s="3"/>
      <c r="J43" s="3"/>
      <c r="K43" s="3"/>
      <c r="L43" s="3">
        <v>1</v>
      </c>
      <c r="M43" s="3"/>
      <c r="N43" s="3">
        <v>1</v>
      </c>
      <c r="O43" s="3"/>
      <c r="P43" s="3"/>
      <c r="Q43" s="3"/>
      <c r="R43" s="3" t="s">
        <v>25</v>
      </c>
      <c r="S43" s="3" t="s">
        <v>25</v>
      </c>
      <c r="T43" s="3" t="s">
        <v>25</v>
      </c>
      <c r="U43" s="3" t="s">
        <v>25</v>
      </c>
      <c r="V43" s="3" t="s">
        <v>25</v>
      </c>
      <c r="W43" s="3" t="s">
        <v>25</v>
      </c>
      <c r="X43" s="3" t="s">
        <v>25</v>
      </c>
      <c r="Y43" s="3" t="s">
        <v>25</v>
      </c>
      <c r="Z43" s="3" t="s">
        <v>25</v>
      </c>
      <c r="AA43" s="3" t="s">
        <v>25</v>
      </c>
      <c r="AB43" s="3" t="s">
        <v>25</v>
      </c>
      <c r="AC43" s="3" t="s">
        <v>25</v>
      </c>
      <c r="AD43" s="3" t="s">
        <v>25</v>
      </c>
      <c r="AE43" s="3" t="s">
        <v>25</v>
      </c>
      <c r="AF43" s="3"/>
      <c r="AG43" s="3"/>
      <c r="AH43" s="3">
        <v>1</v>
      </c>
      <c r="AI43" s="3"/>
      <c r="AJ43" s="3"/>
      <c r="AK43" s="3"/>
      <c r="AL43" s="28">
        <v>1</v>
      </c>
      <c r="AM43" s="28"/>
      <c r="AN43" s="3" t="s">
        <v>25</v>
      </c>
      <c r="AO43" s="3" t="s">
        <v>25</v>
      </c>
      <c r="AP43" s="3"/>
      <c r="AQ43" s="3"/>
      <c r="AR43" s="3" t="s">
        <v>25</v>
      </c>
      <c r="AS43" s="3" t="s">
        <v>25</v>
      </c>
      <c r="AT43" s="3"/>
      <c r="AU43" s="3"/>
      <c r="AV43" s="28"/>
      <c r="AW43" s="28"/>
      <c r="AX43" s="28"/>
      <c r="AY43" s="28"/>
      <c r="AZ43" s="28">
        <v>1</v>
      </c>
      <c r="BA43" s="28"/>
      <c r="BB43" s="3" t="s">
        <v>25</v>
      </c>
      <c r="BC43" s="3" t="s">
        <v>25</v>
      </c>
      <c r="BD43" s="3">
        <v>1</v>
      </c>
      <c r="BE43" s="3"/>
      <c r="BF43" s="3" t="s">
        <v>25</v>
      </c>
      <c r="BG43" s="3" t="s">
        <v>25</v>
      </c>
      <c r="BH43" s="3"/>
      <c r="BI43" s="3"/>
      <c r="BJ43" s="3" t="s">
        <v>49</v>
      </c>
      <c r="BK43" s="3"/>
      <c r="BL43" s="3"/>
      <c r="BM43" s="3"/>
      <c r="BN43" s="28">
        <v>1</v>
      </c>
      <c r="BO43" s="28"/>
      <c r="BP43" s="3"/>
      <c r="BQ43" s="3"/>
      <c r="BR43" s="4">
        <f t="shared" si="16"/>
        <v>7</v>
      </c>
      <c r="BS43" s="36">
        <f t="shared" ref="BS43" si="66">BR43+BR44+BR45*2</f>
        <v>24</v>
      </c>
      <c r="BT43" s="4">
        <f t="shared" si="17"/>
        <v>0</v>
      </c>
      <c r="BU43" s="36">
        <f t="shared" ref="BU43" si="67">BT43+BT44+BT45*2</f>
        <v>0</v>
      </c>
      <c r="BV43" s="34">
        <f>SUM(BU43,BS43)</f>
        <v>24</v>
      </c>
      <c r="BW43" s="1">
        <f t="shared" si="20"/>
        <v>3</v>
      </c>
      <c r="BX43" s="34">
        <f t="shared" ref="BX43" si="68">BW43+BW44+BW45*2</f>
        <v>8</v>
      </c>
      <c r="BY43" s="1">
        <f t="shared" si="18"/>
        <v>0</v>
      </c>
      <c r="BZ43" s="34">
        <f t="shared" ref="BZ43" si="69">BY43+BY44+BY45*2</f>
        <v>0</v>
      </c>
      <c r="CA43" s="34">
        <f>SUM(BZ43,BX43)</f>
        <v>8</v>
      </c>
    </row>
    <row r="44" spans="1:79" ht="16.5" thickTop="1" thickBot="1" x14ac:dyDescent="0.3">
      <c r="A44" s="13">
        <v>6</v>
      </c>
      <c r="B44" s="41"/>
      <c r="C44" s="2">
        <f>BV43</f>
        <v>24</v>
      </c>
      <c r="D44" s="2"/>
      <c r="E44" s="2"/>
      <c r="F44" s="2"/>
      <c r="G44" s="2"/>
      <c r="H44" s="2">
        <v>1</v>
      </c>
      <c r="I44" s="2"/>
      <c r="J44" s="2"/>
      <c r="K44" s="2"/>
      <c r="L44" s="2">
        <v>1</v>
      </c>
      <c r="M44" s="2"/>
      <c r="N44" s="2">
        <v>1</v>
      </c>
      <c r="O44" s="2"/>
      <c r="P44" s="2"/>
      <c r="Q44" s="2"/>
      <c r="R44" s="3" t="s">
        <v>25</v>
      </c>
      <c r="S44" s="3" t="s">
        <v>25</v>
      </c>
      <c r="T44" s="3" t="s">
        <v>25</v>
      </c>
      <c r="U44" s="3" t="s">
        <v>25</v>
      </c>
      <c r="V44" s="3" t="s">
        <v>25</v>
      </c>
      <c r="W44" s="3" t="s">
        <v>25</v>
      </c>
      <c r="X44" s="3" t="s">
        <v>25</v>
      </c>
      <c r="Y44" s="3" t="s">
        <v>25</v>
      </c>
      <c r="Z44" s="3" t="s">
        <v>25</v>
      </c>
      <c r="AA44" s="3" t="s">
        <v>25</v>
      </c>
      <c r="AB44" s="3" t="s">
        <v>25</v>
      </c>
      <c r="AC44" s="3" t="s">
        <v>25</v>
      </c>
      <c r="AD44" s="3" t="s">
        <v>25</v>
      </c>
      <c r="AE44" s="3" t="s">
        <v>25</v>
      </c>
      <c r="AF44" s="2"/>
      <c r="AG44" s="2"/>
      <c r="AH44" s="2"/>
      <c r="AI44" s="2"/>
      <c r="AJ44" s="2"/>
      <c r="AK44" s="2"/>
      <c r="AL44" s="26">
        <v>1</v>
      </c>
      <c r="AM44" s="26"/>
      <c r="AN44" s="2" t="s">
        <v>25</v>
      </c>
      <c r="AO44" s="2" t="s">
        <v>25</v>
      </c>
      <c r="AP44" s="2"/>
      <c r="AQ44" s="2"/>
      <c r="AR44" s="2" t="s">
        <v>25</v>
      </c>
      <c r="AS44" s="2" t="s">
        <v>25</v>
      </c>
      <c r="AT44" s="2"/>
      <c r="AU44" s="2"/>
      <c r="AV44" s="26"/>
      <c r="AW44" s="26"/>
      <c r="AX44" s="26"/>
      <c r="AY44" s="26"/>
      <c r="AZ44" s="26"/>
      <c r="BA44" s="26"/>
      <c r="BB44" s="2" t="s">
        <v>25</v>
      </c>
      <c r="BC44" s="2" t="s">
        <v>25</v>
      </c>
      <c r="BD44" s="2">
        <v>1</v>
      </c>
      <c r="BE44" s="2"/>
      <c r="BF44" s="2" t="s">
        <v>25</v>
      </c>
      <c r="BG44" s="2" t="s">
        <v>25</v>
      </c>
      <c r="BH44" s="2"/>
      <c r="BI44" s="2"/>
      <c r="BJ44" s="2"/>
      <c r="BK44" s="2"/>
      <c r="BL44" s="2"/>
      <c r="BM44" s="2"/>
      <c r="BN44" s="26"/>
      <c r="BO44" s="26"/>
      <c r="BP44" s="2"/>
      <c r="BQ44" s="2"/>
      <c r="BR44" s="4">
        <f t="shared" si="16"/>
        <v>5</v>
      </c>
      <c r="BS44" s="34"/>
      <c r="BT44" s="4">
        <f t="shared" si="17"/>
        <v>0</v>
      </c>
      <c r="BU44" s="34"/>
      <c r="BV44" s="34"/>
      <c r="BW44" s="1">
        <f t="shared" si="20"/>
        <v>1</v>
      </c>
      <c r="BX44" s="34"/>
      <c r="BY44" s="1">
        <f t="shared" si="18"/>
        <v>0</v>
      </c>
      <c r="BZ44" s="34"/>
      <c r="CA44" s="34"/>
    </row>
    <row r="45" spans="1:79" ht="16.5" thickTop="1" thickBot="1" x14ac:dyDescent="0.3">
      <c r="A45" s="14">
        <f t="shared" si="19"/>
        <v>6</v>
      </c>
      <c r="B45" s="42"/>
      <c r="C45" s="23">
        <v>24</v>
      </c>
      <c r="D45" s="23"/>
      <c r="E45" s="23"/>
      <c r="F45" s="23"/>
      <c r="G45" s="23"/>
      <c r="H45" s="23">
        <v>1</v>
      </c>
      <c r="I45" s="23"/>
      <c r="J45" s="23"/>
      <c r="K45" s="23"/>
      <c r="L45" s="23"/>
      <c r="M45" s="23"/>
      <c r="N45" s="23"/>
      <c r="O45" s="23"/>
      <c r="P45" s="23">
        <v>1</v>
      </c>
      <c r="Q45" s="23"/>
      <c r="R45" s="3" t="s">
        <v>25</v>
      </c>
      <c r="S45" s="3" t="s">
        <v>25</v>
      </c>
      <c r="T45" s="3" t="s">
        <v>25</v>
      </c>
      <c r="U45" s="3" t="s">
        <v>25</v>
      </c>
      <c r="V45" s="3" t="s">
        <v>25</v>
      </c>
      <c r="W45" s="3" t="s">
        <v>25</v>
      </c>
      <c r="X45" s="3" t="s">
        <v>25</v>
      </c>
      <c r="Y45" s="3" t="s">
        <v>25</v>
      </c>
      <c r="Z45" s="3" t="s">
        <v>25</v>
      </c>
      <c r="AA45" s="3" t="s">
        <v>25</v>
      </c>
      <c r="AB45" s="3" t="s">
        <v>25</v>
      </c>
      <c r="AC45" s="3" t="s">
        <v>25</v>
      </c>
      <c r="AD45" s="3" t="s">
        <v>25</v>
      </c>
      <c r="AE45" s="3" t="s">
        <v>25</v>
      </c>
      <c r="AF45" s="23"/>
      <c r="AG45" s="23"/>
      <c r="AH45" s="23">
        <v>1</v>
      </c>
      <c r="AI45" s="23"/>
      <c r="AJ45" s="23"/>
      <c r="AK45" s="23"/>
      <c r="AL45" s="27" t="s">
        <v>25</v>
      </c>
      <c r="AM45" s="27" t="s">
        <v>25</v>
      </c>
      <c r="AN45" s="23" t="s">
        <v>25</v>
      </c>
      <c r="AO45" s="23" t="s">
        <v>25</v>
      </c>
      <c r="AP45" s="23" t="s">
        <v>25</v>
      </c>
      <c r="AQ45" s="23" t="s">
        <v>25</v>
      </c>
      <c r="AR45" s="23" t="s">
        <v>25</v>
      </c>
      <c r="AS45" s="23" t="s">
        <v>25</v>
      </c>
      <c r="AT45" s="23">
        <v>1</v>
      </c>
      <c r="AU45" s="23"/>
      <c r="AV45" s="27"/>
      <c r="AW45" s="27"/>
      <c r="AX45" s="27"/>
      <c r="AY45" s="27"/>
      <c r="AZ45" s="27">
        <v>1</v>
      </c>
      <c r="BA45" s="27" t="s">
        <v>25</v>
      </c>
      <c r="BB45" s="23" t="s">
        <v>25</v>
      </c>
      <c r="BC45" s="23" t="s">
        <v>25</v>
      </c>
      <c r="BD45" s="23" t="s">
        <v>25</v>
      </c>
      <c r="BE45" s="23" t="s">
        <v>25</v>
      </c>
      <c r="BF45" s="23" t="s">
        <v>25</v>
      </c>
      <c r="BG45" s="23" t="s">
        <v>25</v>
      </c>
      <c r="BH45" s="23"/>
      <c r="BI45" s="23"/>
      <c r="BJ45" s="23"/>
      <c r="BK45" s="23"/>
      <c r="BL45" s="23"/>
      <c r="BM45" s="23"/>
      <c r="BN45" s="27">
        <v>1</v>
      </c>
      <c r="BO45" s="27"/>
      <c r="BP45" s="23"/>
      <c r="BQ45" s="23"/>
      <c r="BR45" s="4">
        <f t="shared" si="16"/>
        <v>6</v>
      </c>
      <c r="BS45" s="35"/>
      <c r="BT45" s="4">
        <f t="shared" si="17"/>
        <v>0</v>
      </c>
      <c r="BU45" s="35"/>
      <c r="BV45" s="35"/>
      <c r="BW45" s="1">
        <f t="shared" si="20"/>
        <v>2</v>
      </c>
      <c r="BX45" s="35"/>
      <c r="BY45" s="1">
        <f t="shared" si="18"/>
        <v>0</v>
      </c>
      <c r="BZ45" s="35"/>
      <c r="CA45" s="35"/>
    </row>
    <row r="46" spans="1:79" ht="16.5" thickTop="1" thickBot="1" x14ac:dyDescent="0.3">
      <c r="A46" s="13" t="s">
        <v>34</v>
      </c>
      <c r="B46" s="40" t="s">
        <v>62</v>
      </c>
      <c r="C46" s="3">
        <f t="shared" si="21"/>
        <v>3</v>
      </c>
      <c r="D46" s="3"/>
      <c r="E46" s="3"/>
      <c r="F46" s="3"/>
      <c r="G46" s="3"/>
      <c r="H46" s="3">
        <v>1</v>
      </c>
      <c r="I46" s="3"/>
      <c r="J46" s="3" t="s">
        <v>25</v>
      </c>
      <c r="K46" s="3" t="s">
        <v>25</v>
      </c>
      <c r="L46" s="3"/>
      <c r="M46" s="3"/>
      <c r="N46" s="3">
        <v>1</v>
      </c>
      <c r="O46" s="3"/>
      <c r="P46" s="3">
        <v>1</v>
      </c>
      <c r="Q46" s="3"/>
      <c r="R46" s="3" t="s">
        <v>25</v>
      </c>
      <c r="S46" s="3" t="s">
        <v>25</v>
      </c>
      <c r="T46" s="3" t="s">
        <v>25</v>
      </c>
      <c r="U46" s="3" t="s">
        <v>25</v>
      </c>
      <c r="V46" s="3" t="s">
        <v>25</v>
      </c>
      <c r="W46" s="3" t="s">
        <v>25</v>
      </c>
      <c r="X46" s="3" t="s">
        <v>25</v>
      </c>
      <c r="Y46" s="3" t="s">
        <v>25</v>
      </c>
      <c r="Z46" s="3" t="s">
        <v>25</v>
      </c>
      <c r="AA46" s="3" t="s">
        <v>25</v>
      </c>
      <c r="AB46" s="3" t="s">
        <v>25</v>
      </c>
      <c r="AC46" s="3" t="s">
        <v>25</v>
      </c>
      <c r="AD46" s="3" t="s">
        <v>25</v>
      </c>
      <c r="AE46" s="3" t="s">
        <v>25</v>
      </c>
      <c r="AF46" s="3"/>
      <c r="AG46" s="3"/>
      <c r="AH46" s="3"/>
      <c r="AI46" s="3"/>
      <c r="AJ46" s="3" t="s">
        <v>25</v>
      </c>
      <c r="AK46" s="3" t="s">
        <v>25</v>
      </c>
      <c r="AL46" s="28" t="s">
        <v>25</v>
      </c>
      <c r="AM46" s="28" t="s">
        <v>25</v>
      </c>
      <c r="AN46" s="3" t="s">
        <v>25</v>
      </c>
      <c r="AO46" s="3" t="s">
        <v>25</v>
      </c>
      <c r="AP46" s="3" t="s">
        <v>25</v>
      </c>
      <c r="AQ46" s="3" t="s">
        <v>25</v>
      </c>
      <c r="AR46" s="3"/>
      <c r="AS46" s="3"/>
      <c r="AT46" s="3">
        <v>1</v>
      </c>
      <c r="AU46" s="3"/>
      <c r="AV46" s="28" t="s">
        <v>25</v>
      </c>
      <c r="AW46" s="28" t="s">
        <v>25</v>
      </c>
      <c r="AX46" s="28" t="s">
        <v>25</v>
      </c>
      <c r="AY46" s="28" t="s">
        <v>25</v>
      </c>
      <c r="AZ46" s="28"/>
      <c r="BA46" s="28"/>
      <c r="BB46" s="3">
        <v>1</v>
      </c>
      <c r="BC46" s="3"/>
      <c r="BD46" s="3"/>
      <c r="BE46" s="3"/>
      <c r="BF46" s="3"/>
      <c r="BG46" s="3"/>
      <c r="BH46" s="3"/>
      <c r="BI46" s="3"/>
      <c r="BJ46" s="3">
        <v>1</v>
      </c>
      <c r="BK46" s="3"/>
      <c r="BL46" s="3"/>
      <c r="BM46" s="3"/>
      <c r="BN46" s="28">
        <v>1</v>
      </c>
      <c r="BO46" s="28"/>
      <c r="BP46" s="3"/>
      <c r="BQ46" s="3"/>
      <c r="BR46" s="4">
        <f t="shared" si="16"/>
        <v>7</v>
      </c>
      <c r="BS46" s="36">
        <f t="shared" ref="BS46" si="70">BR46+BR47+BR48*2</f>
        <v>24</v>
      </c>
      <c r="BT46" s="4">
        <f t="shared" si="17"/>
        <v>0</v>
      </c>
      <c r="BU46" s="36">
        <f t="shared" ref="BU46" si="71">BT46+BT47+BT48*2</f>
        <v>0</v>
      </c>
      <c r="BV46" s="34">
        <f>SUM(BU46,BS46)</f>
        <v>24</v>
      </c>
      <c r="BW46" s="1">
        <f t="shared" si="20"/>
        <v>1</v>
      </c>
      <c r="BX46" s="34">
        <f t="shared" ref="BX46" si="72">BW46+BW47+BW48*2</f>
        <v>3</v>
      </c>
      <c r="BY46" s="1">
        <f t="shared" si="18"/>
        <v>0</v>
      </c>
      <c r="BZ46" s="34">
        <f t="shared" ref="BZ46" si="73">BY46+BY47+BY48*2</f>
        <v>0</v>
      </c>
      <c r="CA46" s="34">
        <f>SUM(BZ46,BX46)</f>
        <v>3</v>
      </c>
    </row>
    <row r="47" spans="1:79" ht="16.5" thickTop="1" thickBot="1" x14ac:dyDescent="0.3">
      <c r="A47" s="13">
        <v>6</v>
      </c>
      <c r="B47" s="41"/>
      <c r="C47" s="2">
        <f>BV46</f>
        <v>24</v>
      </c>
      <c r="D47" s="2"/>
      <c r="E47" s="2"/>
      <c r="F47" s="2"/>
      <c r="G47" s="2"/>
      <c r="H47" s="2"/>
      <c r="I47" s="2"/>
      <c r="J47" s="2" t="s">
        <v>25</v>
      </c>
      <c r="K47" s="2" t="s">
        <v>25</v>
      </c>
      <c r="L47" s="2">
        <v>1</v>
      </c>
      <c r="M47" s="2"/>
      <c r="N47" s="2">
        <v>1</v>
      </c>
      <c r="O47" s="2"/>
      <c r="P47" s="2"/>
      <c r="Q47" s="2"/>
      <c r="R47" s="3" t="s">
        <v>25</v>
      </c>
      <c r="S47" s="3" t="s">
        <v>25</v>
      </c>
      <c r="T47" s="3" t="s">
        <v>25</v>
      </c>
      <c r="U47" s="3" t="s">
        <v>25</v>
      </c>
      <c r="V47" s="3" t="s">
        <v>25</v>
      </c>
      <c r="W47" s="3" t="s">
        <v>25</v>
      </c>
      <c r="X47" s="3" t="s">
        <v>25</v>
      </c>
      <c r="Y47" s="3" t="s">
        <v>25</v>
      </c>
      <c r="Z47" s="3" t="s">
        <v>25</v>
      </c>
      <c r="AA47" s="3" t="s">
        <v>25</v>
      </c>
      <c r="AB47" s="3" t="s">
        <v>25</v>
      </c>
      <c r="AC47" s="3" t="s">
        <v>25</v>
      </c>
      <c r="AD47" s="3" t="s">
        <v>25</v>
      </c>
      <c r="AE47" s="3" t="s">
        <v>25</v>
      </c>
      <c r="AF47" s="2"/>
      <c r="AG47" s="2"/>
      <c r="AH47" s="2"/>
      <c r="AI47" s="2"/>
      <c r="AJ47" s="3" t="s">
        <v>25</v>
      </c>
      <c r="AK47" s="3" t="s">
        <v>25</v>
      </c>
      <c r="AL47" s="28" t="s">
        <v>25</v>
      </c>
      <c r="AM47" s="28" t="s">
        <v>25</v>
      </c>
      <c r="AN47" s="3" t="s">
        <v>25</v>
      </c>
      <c r="AO47" s="3" t="s">
        <v>25</v>
      </c>
      <c r="AP47" s="3" t="s">
        <v>25</v>
      </c>
      <c r="AQ47" s="3" t="s">
        <v>25</v>
      </c>
      <c r="AR47" s="2"/>
      <c r="AS47" s="2"/>
      <c r="AT47" s="2">
        <v>1</v>
      </c>
      <c r="AU47" s="2"/>
      <c r="AV47" s="26"/>
      <c r="AW47" s="26"/>
      <c r="AX47" s="26">
        <v>1</v>
      </c>
      <c r="AY47" s="26"/>
      <c r="AZ47" s="26"/>
      <c r="BA47" s="26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6">
        <v>1</v>
      </c>
      <c r="BO47" s="26"/>
      <c r="BP47" s="2"/>
      <c r="BQ47" s="2"/>
      <c r="BR47" s="4">
        <f t="shared" si="16"/>
        <v>5</v>
      </c>
      <c r="BS47" s="34"/>
      <c r="BT47" s="4">
        <f t="shared" si="17"/>
        <v>0</v>
      </c>
      <c r="BU47" s="34"/>
      <c r="BV47" s="34"/>
      <c r="BW47" s="1">
        <f t="shared" si="20"/>
        <v>2</v>
      </c>
      <c r="BX47" s="34"/>
      <c r="BY47" s="1">
        <f t="shared" si="18"/>
        <v>0</v>
      </c>
      <c r="BZ47" s="34"/>
      <c r="CA47" s="34"/>
    </row>
    <row r="48" spans="1:79" ht="16.5" thickTop="1" thickBot="1" x14ac:dyDescent="0.3">
      <c r="A48" s="14">
        <f t="shared" si="19"/>
        <v>6</v>
      </c>
      <c r="B48" s="42"/>
      <c r="C48" s="23">
        <v>24</v>
      </c>
      <c r="D48" s="23"/>
      <c r="E48" s="23"/>
      <c r="F48" s="23"/>
      <c r="G48" s="23"/>
      <c r="H48" s="23">
        <v>1</v>
      </c>
      <c r="I48" s="23"/>
      <c r="J48" s="23" t="s">
        <v>25</v>
      </c>
      <c r="K48" s="23" t="s">
        <v>25</v>
      </c>
      <c r="L48" s="23"/>
      <c r="M48" s="23"/>
      <c r="N48" s="23"/>
      <c r="O48" s="23"/>
      <c r="P48" s="23">
        <v>1</v>
      </c>
      <c r="Q48" s="23"/>
      <c r="R48" s="3" t="s">
        <v>25</v>
      </c>
      <c r="S48" s="3" t="s">
        <v>25</v>
      </c>
      <c r="T48" s="3" t="s">
        <v>25</v>
      </c>
      <c r="U48" s="3" t="s">
        <v>25</v>
      </c>
      <c r="V48" s="3" t="s">
        <v>25</v>
      </c>
      <c r="W48" s="3" t="s">
        <v>25</v>
      </c>
      <c r="X48" s="3" t="s">
        <v>25</v>
      </c>
      <c r="Y48" s="3" t="s">
        <v>25</v>
      </c>
      <c r="Z48" s="3" t="s">
        <v>25</v>
      </c>
      <c r="AA48" s="3" t="s">
        <v>25</v>
      </c>
      <c r="AB48" s="3" t="s">
        <v>25</v>
      </c>
      <c r="AC48" s="3" t="s">
        <v>25</v>
      </c>
      <c r="AD48" s="3" t="s">
        <v>25</v>
      </c>
      <c r="AE48" s="3" t="s">
        <v>25</v>
      </c>
      <c r="AF48" s="23">
        <v>1</v>
      </c>
      <c r="AG48" s="23"/>
      <c r="AH48" s="23"/>
      <c r="AI48" s="23"/>
      <c r="AJ48" s="3" t="s">
        <v>25</v>
      </c>
      <c r="AK48" s="3" t="s">
        <v>25</v>
      </c>
      <c r="AL48" s="28" t="s">
        <v>25</v>
      </c>
      <c r="AM48" s="28" t="s">
        <v>25</v>
      </c>
      <c r="AN48" s="3" t="s">
        <v>25</v>
      </c>
      <c r="AO48" s="3" t="s">
        <v>25</v>
      </c>
      <c r="AP48" s="3" t="s">
        <v>25</v>
      </c>
      <c r="AQ48" s="3" t="s">
        <v>25</v>
      </c>
      <c r="AR48" s="23"/>
      <c r="AS48" s="23"/>
      <c r="AT48" s="23"/>
      <c r="AU48" s="23"/>
      <c r="AV48" s="27"/>
      <c r="AW48" s="27"/>
      <c r="AX48" s="27"/>
      <c r="AY48" s="27"/>
      <c r="AZ48" s="27"/>
      <c r="BA48" s="27"/>
      <c r="BB48" s="23">
        <v>1</v>
      </c>
      <c r="BC48" s="23"/>
      <c r="BD48" s="23"/>
      <c r="BE48" s="23"/>
      <c r="BF48" s="23">
        <v>1</v>
      </c>
      <c r="BG48" s="23"/>
      <c r="BH48" s="23"/>
      <c r="BI48" s="23"/>
      <c r="BJ48" s="23">
        <v>1</v>
      </c>
      <c r="BK48" s="23"/>
      <c r="BL48" s="23"/>
      <c r="BM48" s="23"/>
      <c r="BN48" s="27"/>
      <c r="BO48" s="27"/>
      <c r="BP48" s="23"/>
      <c r="BQ48" s="23"/>
      <c r="BR48" s="4">
        <f t="shared" si="16"/>
        <v>6</v>
      </c>
      <c r="BS48" s="35"/>
      <c r="BT48" s="4">
        <f t="shared" si="17"/>
        <v>0</v>
      </c>
      <c r="BU48" s="35"/>
      <c r="BV48" s="35"/>
      <c r="BW48" s="1">
        <f t="shared" si="20"/>
        <v>0</v>
      </c>
      <c r="BX48" s="35"/>
      <c r="BY48" s="1">
        <f t="shared" si="18"/>
        <v>0</v>
      </c>
      <c r="BZ48" s="35"/>
      <c r="CA48" s="35"/>
    </row>
    <row r="49" spans="1:79" ht="16.5" thickTop="1" thickBot="1" x14ac:dyDescent="0.3">
      <c r="A49" s="13" t="s">
        <v>37</v>
      </c>
      <c r="B49" s="40" t="s">
        <v>63</v>
      </c>
      <c r="C49" s="3">
        <f t="shared" si="21"/>
        <v>2</v>
      </c>
      <c r="D49" s="3"/>
      <c r="E49" s="3"/>
      <c r="F49" s="3">
        <v>1</v>
      </c>
      <c r="G49" s="3"/>
      <c r="H49" s="3">
        <v>1</v>
      </c>
      <c r="I49" s="3"/>
      <c r="J49" s="3"/>
      <c r="K49" s="3"/>
      <c r="L49" s="3">
        <v>1</v>
      </c>
      <c r="M49" s="3"/>
      <c r="N49" s="3">
        <v>1</v>
      </c>
      <c r="O49" s="3"/>
      <c r="P49" s="3"/>
      <c r="Q49" s="3"/>
      <c r="R49" s="3" t="s">
        <v>25</v>
      </c>
      <c r="S49" s="3" t="s">
        <v>25</v>
      </c>
      <c r="T49" s="3" t="s">
        <v>25</v>
      </c>
      <c r="U49" s="3" t="s">
        <v>25</v>
      </c>
      <c r="V49" s="3" t="s">
        <v>25</v>
      </c>
      <c r="W49" s="3" t="s">
        <v>25</v>
      </c>
      <c r="X49" s="3" t="s">
        <v>25</v>
      </c>
      <c r="Y49" s="3" t="s">
        <v>25</v>
      </c>
      <c r="Z49" s="3" t="s">
        <v>25</v>
      </c>
      <c r="AA49" s="3" t="s">
        <v>25</v>
      </c>
      <c r="AB49" s="3" t="s">
        <v>25</v>
      </c>
      <c r="AC49" s="3" t="s">
        <v>25</v>
      </c>
      <c r="AD49" s="3" t="s">
        <v>25</v>
      </c>
      <c r="AE49" s="3" t="s">
        <v>25</v>
      </c>
      <c r="AF49" s="3">
        <v>1</v>
      </c>
      <c r="AG49" s="3"/>
      <c r="AH49" s="3"/>
      <c r="AI49" s="3"/>
      <c r="AJ49" s="3"/>
      <c r="AK49" s="3"/>
      <c r="AL49" s="28"/>
      <c r="AM49" s="28"/>
      <c r="AN49" s="3"/>
      <c r="AO49" s="3"/>
      <c r="AP49" s="3">
        <v>1</v>
      </c>
      <c r="AQ49" s="3"/>
      <c r="AR49" s="3"/>
      <c r="AS49" s="3"/>
      <c r="AT49" s="3">
        <v>1</v>
      </c>
      <c r="AU49" s="3"/>
      <c r="AV49" s="28" t="s">
        <v>25</v>
      </c>
      <c r="AW49" s="28" t="s">
        <v>25</v>
      </c>
      <c r="AX49" s="28" t="s">
        <v>25</v>
      </c>
      <c r="AY49" s="28" t="s">
        <v>25</v>
      </c>
      <c r="AZ49" s="28">
        <v>1</v>
      </c>
      <c r="BA49" s="28"/>
      <c r="BB49" s="3">
        <v>1</v>
      </c>
      <c r="BC49" s="3"/>
      <c r="BD49" s="3"/>
      <c r="BE49" s="3"/>
      <c r="BF49" s="3"/>
      <c r="BG49" s="3"/>
      <c r="BH49" s="3"/>
      <c r="BI49" s="3"/>
      <c r="BJ49" s="3"/>
      <c r="BK49" s="3"/>
      <c r="BL49" s="3" t="s">
        <v>49</v>
      </c>
      <c r="BM49" s="3" t="s">
        <v>25</v>
      </c>
      <c r="BN49" s="28" t="s">
        <v>25</v>
      </c>
      <c r="BO49" s="28" t="s">
        <v>25</v>
      </c>
      <c r="BP49" s="3"/>
      <c r="BQ49" s="3"/>
      <c r="BR49" s="4">
        <f t="shared" si="16"/>
        <v>9</v>
      </c>
      <c r="BS49" s="36">
        <f t="shared" ref="BS49" si="74">BR49+BR50+BR51*2</f>
        <v>24</v>
      </c>
      <c r="BT49" s="4">
        <f t="shared" si="17"/>
        <v>0</v>
      </c>
      <c r="BU49" s="36">
        <f t="shared" ref="BU49" si="75">BT49+BT50+BT51*2</f>
        <v>0</v>
      </c>
      <c r="BV49" s="34">
        <f>SUM(BU49,BS49)</f>
        <v>24</v>
      </c>
      <c r="BW49" s="1">
        <f t="shared" si="20"/>
        <v>1</v>
      </c>
      <c r="BX49" s="34">
        <f t="shared" ref="BX49" si="76">BW49+BW50+BW51*2</f>
        <v>2</v>
      </c>
      <c r="BY49" s="1">
        <f t="shared" si="18"/>
        <v>0</v>
      </c>
      <c r="BZ49" s="34">
        <f t="shared" ref="BZ49" si="77">BY49+BY50+BY51*2</f>
        <v>0</v>
      </c>
      <c r="CA49" s="34">
        <f>SUM(BZ49,BX49)</f>
        <v>2</v>
      </c>
    </row>
    <row r="50" spans="1:79" ht="16.5" thickTop="1" thickBot="1" x14ac:dyDescent="0.3">
      <c r="A50" s="13">
        <v>6</v>
      </c>
      <c r="B50" s="41"/>
      <c r="C50" s="2">
        <f>BV49</f>
        <v>24</v>
      </c>
      <c r="D50" s="2"/>
      <c r="E50" s="2"/>
      <c r="F50" s="2">
        <v>1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" t="s">
        <v>25</v>
      </c>
      <c r="S50" s="3" t="s">
        <v>25</v>
      </c>
      <c r="T50" s="3" t="s">
        <v>25</v>
      </c>
      <c r="U50" s="3" t="s">
        <v>25</v>
      </c>
      <c r="V50" s="3" t="s">
        <v>25</v>
      </c>
      <c r="W50" s="3" t="s">
        <v>25</v>
      </c>
      <c r="X50" s="3" t="s">
        <v>25</v>
      </c>
      <c r="Y50" s="3" t="s">
        <v>25</v>
      </c>
      <c r="Z50" s="3" t="s">
        <v>25</v>
      </c>
      <c r="AA50" s="3" t="s">
        <v>25</v>
      </c>
      <c r="AB50" s="3" t="s">
        <v>25</v>
      </c>
      <c r="AC50" s="3" t="s">
        <v>25</v>
      </c>
      <c r="AD50" s="3" t="s">
        <v>25</v>
      </c>
      <c r="AE50" s="3" t="s">
        <v>25</v>
      </c>
      <c r="AF50" s="2">
        <v>1</v>
      </c>
      <c r="AG50" s="2"/>
      <c r="AH50" s="2"/>
      <c r="AI50" s="2"/>
      <c r="AJ50" s="2"/>
      <c r="AK50" s="2"/>
      <c r="AL50" s="26"/>
      <c r="AM50" s="26"/>
      <c r="AN50" s="2"/>
      <c r="AO50" s="2"/>
      <c r="AP50" s="2"/>
      <c r="AQ50" s="2"/>
      <c r="AR50" s="2"/>
      <c r="AS50" s="2"/>
      <c r="AT50" s="2"/>
      <c r="AU50" s="2"/>
      <c r="AV50" s="28" t="s">
        <v>25</v>
      </c>
      <c r="AW50" s="28" t="s">
        <v>25</v>
      </c>
      <c r="AX50" s="28" t="s">
        <v>25</v>
      </c>
      <c r="AY50" s="28" t="s">
        <v>25</v>
      </c>
      <c r="AZ50" s="26">
        <v>1</v>
      </c>
      <c r="BA50" s="26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3" t="s">
        <v>25</v>
      </c>
      <c r="BM50" s="3" t="s">
        <v>25</v>
      </c>
      <c r="BN50" s="28" t="s">
        <v>25</v>
      </c>
      <c r="BO50" s="28" t="s">
        <v>25</v>
      </c>
      <c r="BP50" s="2"/>
      <c r="BQ50" s="2"/>
      <c r="BR50" s="4">
        <f t="shared" si="16"/>
        <v>3</v>
      </c>
      <c r="BS50" s="34"/>
      <c r="BT50" s="4">
        <f t="shared" si="17"/>
        <v>0</v>
      </c>
      <c r="BU50" s="34"/>
      <c r="BV50" s="34"/>
      <c r="BW50" s="1">
        <f t="shared" si="20"/>
        <v>1</v>
      </c>
      <c r="BX50" s="34"/>
      <c r="BY50" s="1">
        <f t="shared" si="18"/>
        <v>0</v>
      </c>
      <c r="BZ50" s="34"/>
      <c r="CA50" s="34"/>
    </row>
    <row r="51" spans="1:79" ht="16.5" thickTop="1" thickBot="1" x14ac:dyDescent="0.3">
      <c r="A51" s="14">
        <f t="shared" si="19"/>
        <v>6</v>
      </c>
      <c r="B51" s="42"/>
      <c r="C51" s="23">
        <v>24</v>
      </c>
      <c r="D51" s="23"/>
      <c r="E51" s="23"/>
      <c r="F51" s="23"/>
      <c r="G51" s="23"/>
      <c r="H51" s="23">
        <v>1</v>
      </c>
      <c r="I51" s="23"/>
      <c r="J51" s="23"/>
      <c r="K51" s="23"/>
      <c r="L51" s="23"/>
      <c r="M51" s="23"/>
      <c r="N51" s="23">
        <v>1</v>
      </c>
      <c r="O51" s="23"/>
      <c r="P51" s="23"/>
      <c r="Q51" s="23"/>
      <c r="R51" s="3" t="s">
        <v>25</v>
      </c>
      <c r="S51" s="3" t="s">
        <v>25</v>
      </c>
      <c r="T51" s="3" t="s">
        <v>25</v>
      </c>
      <c r="U51" s="3" t="s">
        <v>25</v>
      </c>
      <c r="V51" s="3" t="s">
        <v>25</v>
      </c>
      <c r="W51" s="3" t="s">
        <v>25</v>
      </c>
      <c r="X51" s="3" t="s">
        <v>25</v>
      </c>
      <c r="Y51" s="3" t="s">
        <v>25</v>
      </c>
      <c r="Z51" s="3" t="s">
        <v>25</v>
      </c>
      <c r="AA51" s="3" t="s">
        <v>25</v>
      </c>
      <c r="AB51" s="3" t="s">
        <v>25</v>
      </c>
      <c r="AC51" s="3" t="s">
        <v>25</v>
      </c>
      <c r="AD51" s="3" t="s">
        <v>25</v>
      </c>
      <c r="AE51" s="3" t="s">
        <v>25</v>
      </c>
      <c r="AF51" s="23"/>
      <c r="AG51" s="23"/>
      <c r="AH51" s="23"/>
      <c r="AI51" s="23"/>
      <c r="AJ51" s="23">
        <v>1</v>
      </c>
      <c r="AK51" s="23"/>
      <c r="AL51" s="27"/>
      <c r="AM51" s="27"/>
      <c r="AN51" s="23"/>
      <c r="AO51" s="23"/>
      <c r="AP51" s="23"/>
      <c r="AQ51" s="23"/>
      <c r="AR51" s="23"/>
      <c r="AS51" s="23"/>
      <c r="AT51" s="23">
        <v>1</v>
      </c>
      <c r="AU51" s="23"/>
      <c r="AV51" s="28" t="s">
        <v>25</v>
      </c>
      <c r="AW51" s="28" t="s">
        <v>25</v>
      </c>
      <c r="AX51" s="28" t="s">
        <v>25</v>
      </c>
      <c r="AY51" s="28" t="s">
        <v>25</v>
      </c>
      <c r="AZ51" s="27"/>
      <c r="BA51" s="27"/>
      <c r="BB51" s="23">
        <v>1</v>
      </c>
      <c r="BC51" s="23"/>
      <c r="BD51" s="23"/>
      <c r="BE51" s="23"/>
      <c r="BF51" s="23"/>
      <c r="BG51" s="23"/>
      <c r="BH51" s="23"/>
      <c r="BI51" s="23"/>
      <c r="BJ51" s="23">
        <v>1</v>
      </c>
      <c r="BK51" s="23"/>
      <c r="BL51" s="3" t="s">
        <v>25</v>
      </c>
      <c r="BM51" s="3" t="s">
        <v>25</v>
      </c>
      <c r="BN51" s="28" t="s">
        <v>25</v>
      </c>
      <c r="BO51" s="28" t="s">
        <v>25</v>
      </c>
      <c r="BP51" s="23"/>
      <c r="BQ51" s="23"/>
      <c r="BR51" s="4">
        <f t="shared" si="16"/>
        <v>6</v>
      </c>
      <c r="BS51" s="35"/>
      <c r="BT51" s="4">
        <f t="shared" si="17"/>
        <v>0</v>
      </c>
      <c r="BU51" s="35"/>
      <c r="BV51" s="35"/>
      <c r="BW51" s="1">
        <f t="shared" si="20"/>
        <v>0</v>
      </c>
      <c r="BX51" s="35"/>
      <c r="BY51" s="1">
        <f t="shared" si="18"/>
        <v>0</v>
      </c>
      <c r="BZ51" s="35"/>
      <c r="CA51" s="35"/>
    </row>
    <row r="52" spans="1:79" ht="16.5" thickTop="1" thickBot="1" x14ac:dyDescent="0.3">
      <c r="A52" s="13" t="s">
        <v>38</v>
      </c>
      <c r="B52" s="40" t="s">
        <v>64</v>
      </c>
      <c r="C52" s="3">
        <f t="shared" si="21"/>
        <v>3</v>
      </c>
      <c r="D52" s="3"/>
      <c r="E52" s="3"/>
      <c r="F52" s="3"/>
      <c r="G52" s="3"/>
      <c r="H52" s="3"/>
      <c r="I52" s="3"/>
      <c r="J52" s="3"/>
      <c r="K52" s="3"/>
      <c r="L52" s="3">
        <v>1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28"/>
      <c r="AM52" s="28"/>
      <c r="AN52" s="3"/>
      <c r="AO52" s="3"/>
      <c r="AP52" s="3"/>
      <c r="AQ52" s="3"/>
      <c r="AR52" s="3"/>
      <c r="AS52" s="3"/>
      <c r="AT52" s="3"/>
      <c r="AU52" s="3"/>
      <c r="AV52" s="28"/>
      <c r="AW52" s="28"/>
      <c r="AX52" s="28"/>
      <c r="AY52" s="28"/>
      <c r="AZ52" s="28"/>
      <c r="BA52" s="28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28">
        <v>1</v>
      </c>
      <c r="BO52" s="28"/>
      <c r="BP52" s="3"/>
      <c r="BQ52" s="3"/>
      <c r="BR52" s="4">
        <f t="shared" si="16"/>
        <v>2</v>
      </c>
      <c r="BS52" s="36">
        <f t="shared" ref="BS52" si="78">BR52+BR53+BR54*2</f>
        <v>24</v>
      </c>
      <c r="BT52" s="4">
        <f t="shared" si="17"/>
        <v>0</v>
      </c>
      <c r="BU52" s="36">
        <f t="shared" ref="BU52" si="79">BT52+BT53+BT54*2</f>
        <v>0</v>
      </c>
      <c r="BV52" s="34">
        <f>SUM(BU52,BS52)</f>
        <v>24</v>
      </c>
      <c r="BW52" s="1">
        <f t="shared" si="20"/>
        <v>1</v>
      </c>
      <c r="BX52" s="34">
        <f t="shared" ref="BX52" si="80">BW52+BW53+BW54*2</f>
        <v>3</v>
      </c>
      <c r="BY52" s="1">
        <f t="shared" si="18"/>
        <v>0</v>
      </c>
      <c r="BZ52" s="34">
        <f t="shared" ref="BZ52" si="81">BY52+BY53+BY54*2</f>
        <v>0</v>
      </c>
      <c r="CA52" s="34">
        <f>SUM(BZ52,BX52)</f>
        <v>3</v>
      </c>
    </row>
    <row r="53" spans="1:79" ht="16.5" thickTop="1" thickBot="1" x14ac:dyDescent="0.3">
      <c r="A53" s="13">
        <v>0</v>
      </c>
      <c r="B53" s="41"/>
      <c r="C53" s="2">
        <f>BV52</f>
        <v>24</v>
      </c>
      <c r="D53" s="2"/>
      <c r="E53" s="2"/>
      <c r="F53" s="2">
        <v>1</v>
      </c>
      <c r="G53" s="2"/>
      <c r="H53" s="2" t="s">
        <v>25</v>
      </c>
      <c r="I53" s="2" t="s">
        <v>25</v>
      </c>
      <c r="J53" s="2">
        <v>1</v>
      </c>
      <c r="K53" s="2"/>
      <c r="L53" s="2"/>
      <c r="M53" s="2"/>
      <c r="N53" s="2">
        <v>1</v>
      </c>
      <c r="O53" s="2"/>
      <c r="P53" s="2">
        <v>1</v>
      </c>
      <c r="Q53" s="2"/>
      <c r="R53" s="2"/>
      <c r="S53" s="2"/>
      <c r="T53" s="2">
        <v>1</v>
      </c>
      <c r="U53" s="2"/>
      <c r="V53" s="2">
        <v>1</v>
      </c>
      <c r="W53" s="2"/>
      <c r="X53" s="2">
        <v>1</v>
      </c>
      <c r="Y53" s="2"/>
      <c r="Z53" s="2">
        <v>1</v>
      </c>
      <c r="AA53" s="2"/>
      <c r="AB53" s="2">
        <v>1</v>
      </c>
      <c r="AC53" s="2"/>
      <c r="AD53" s="2">
        <v>1</v>
      </c>
      <c r="AE53" s="2"/>
      <c r="AF53" s="2">
        <v>1</v>
      </c>
      <c r="AG53" s="2"/>
      <c r="AH53" s="2"/>
      <c r="AI53" s="2"/>
      <c r="AJ53" s="2">
        <v>1</v>
      </c>
      <c r="AK53" s="2"/>
      <c r="AL53" s="26"/>
      <c r="AM53" s="26"/>
      <c r="AN53" s="2">
        <v>1</v>
      </c>
      <c r="AO53" s="2"/>
      <c r="AP53" s="2">
        <v>1</v>
      </c>
      <c r="AQ53" s="2"/>
      <c r="AR53" s="2">
        <v>1</v>
      </c>
      <c r="AS53" s="2"/>
      <c r="AT53" s="2"/>
      <c r="AU53" s="2"/>
      <c r="AV53" s="26">
        <v>1</v>
      </c>
      <c r="AW53" s="26"/>
      <c r="AX53" s="26">
        <v>1</v>
      </c>
      <c r="AY53" s="26"/>
      <c r="AZ53" s="26"/>
      <c r="BA53" s="26"/>
      <c r="BB53" s="2">
        <v>1</v>
      </c>
      <c r="BC53" s="2"/>
      <c r="BD53" s="2">
        <v>1</v>
      </c>
      <c r="BE53" s="2"/>
      <c r="BF53" s="2"/>
      <c r="BG53" s="2"/>
      <c r="BH53" s="2">
        <v>1</v>
      </c>
      <c r="BI53" s="2"/>
      <c r="BJ53" s="2">
        <v>1</v>
      </c>
      <c r="BK53" s="2"/>
      <c r="BL53" s="2">
        <v>1</v>
      </c>
      <c r="BM53" s="2"/>
      <c r="BN53" s="26"/>
      <c r="BO53" s="26"/>
      <c r="BP53" s="2"/>
      <c r="BQ53" s="2"/>
      <c r="BR53" s="4">
        <f t="shared" si="16"/>
        <v>22</v>
      </c>
      <c r="BS53" s="34"/>
      <c r="BT53" s="4">
        <f t="shared" si="17"/>
        <v>0</v>
      </c>
      <c r="BU53" s="34"/>
      <c r="BV53" s="34"/>
      <c r="BW53" s="1">
        <f t="shared" si="20"/>
        <v>2</v>
      </c>
      <c r="BX53" s="34"/>
      <c r="BY53" s="1">
        <f t="shared" si="18"/>
        <v>0</v>
      </c>
      <c r="BZ53" s="34"/>
      <c r="CA53" s="34"/>
    </row>
    <row r="54" spans="1:79" ht="16.5" thickTop="1" thickBot="1" x14ac:dyDescent="0.3">
      <c r="A54" s="14">
        <f t="shared" si="19"/>
        <v>0</v>
      </c>
      <c r="B54" s="42"/>
      <c r="C54" s="23">
        <v>24</v>
      </c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7"/>
      <c r="AM54" s="27"/>
      <c r="AN54" s="23"/>
      <c r="AO54" s="23"/>
      <c r="AP54" s="23"/>
      <c r="AQ54" s="23"/>
      <c r="AR54" s="23"/>
      <c r="AS54" s="23"/>
      <c r="AT54" s="23"/>
      <c r="AU54" s="23"/>
      <c r="AV54" s="27"/>
      <c r="AW54" s="27"/>
      <c r="AX54" s="27"/>
      <c r="AY54" s="27"/>
      <c r="AZ54" s="27"/>
      <c r="BA54" s="27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7"/>
      <c r="BO54" s="27"/>
      <c r="BP54" s="23"/>
      <c r="BQ54" s="23"/>
      <c r="BR54" s="4">
        <f t="shared" si="16"/>
        <v>0</v>
      </c>
      <c r="BS54" s="35"/>
      <c r="BT54" s="4">
        <f t="shared" si="17"/>
        <v>0</v>
      </c>
      <c r="BU54" s="35"/>
      <c r="BV54" s="35"/>
      <c r="BW54" s="1">
        <f t="shared" si="20"/>
        <v>0</v>
      </c>
      <c r="BX54" s="35"/>
      <c r="BY54" s="1">
        <f t="shared" si="18"/>
        <v>0</v>
      </c>
      <c r="BZ54" s="35"/>
      <c r="CA54" s="35"/>
    </row>
    <row r="55" spans="1:79" ht="16.5" thickTop="1" thickBot="1" x14ac:dyDescent="0.3">
      <c r="A55" s="13" t="s">
        <v>37</v>
      </c>
      <c r="B55" s="40" t="s">
        <v>65</v>
      </c>
      <c r="C55" s="3">
        <f t="shared" si="21"/>
        <v>4</v>
      </c>
      <c r="D55" s="3"/>
      <c r="E55" s="3"/>
      <c r="F55" s="3" t="s">
        <v>25</v>
      </c>
      <c r="G55" s="3" t="s">
        <v>25</v>
      </c>
      <c r="H55" s="3" t="s">
        <v>25</v>
      </c>
      <c r="I55" s="3" t="s">
        <v>25</v>
      </c>
      <c r="J55" s="3" t="s">
        <v>25</v>
      </c>
      <c r="K55" s="3" t="s">
        <v>25</v>
      </c>
      <c r="L55" s="3" t="s">
        <v>25</v>
      </c>
      <c r="M55" s="3" t="s">
        <v>25</v>
      </c>
      <c r="N55" s="3" t="s">
        <v>25</v>
      </c>
      <c r="O55" s="3" t="s">
        <v>25</v>
      </c>
      <c r="P55" s="3" t="s">
        <v>25</v>
      </c>
      <c r="Q55" s="3" t="s">
        <v>25</v>
      </c>
      <c r="R55" s="3"/>
      <c r="S55" s="3"/>
      <c r="T55" s="3">
        <v>1</v>
      </c>
      <c r="U55" s="3"/>
      <c r="V55" s="3">
        <v>1</v>
      </c>
      <c r="W55" s="3"/>
      <c r="X55" s="3"/>
      <c r="Y55" s="3"/>
      <c r="Z55" s="3">
        <v>1</v>
      </c>
      <c r="AA55" s="3"/>
      <c r="AB55" s="3">
        <v>1</v>
      </c>
      <c r="AC55" s="3"/>
      <c r="AD55" s="3" t="s">
        <v>25</v>
      </c>
      <c r="AE55" s="3" t="s">
        <v>25</v>
      </c>
      <c r="AF55" s="3">
        <v>1</v>
      </c>
      <c r="AG55" s="3"/>
      <c r="AH55" s="3"/>
      <c r="AI55" s="3"/>
      <c r="AJ55" s="3"/>
      <c r="AK55" s="3"/>
      <c r="AL55" s="28"/>
      <c r="AM55" s="28"/>
      <c r="AN55" s="3" t="s">
        <v>25</v>
      </c>
      <c r="AO55" s="3" t="s">
        <v>25</v>
      </c>
      <c r="AP55" s="3" t="s">
        <v>25</v>
      </c>
      <c r="AQ55" s="3" t="s">
        <v>25</v>
      </c>
      <c r="AR55" s="3">
        <v>1</v>
      </c>
      <c r="AS55" s="3"/>
      <c r="AT55" s="3"/>
      <c r="AU55" s="3"/>
      <c r="AV55" s="28" t="s">
        <v>49</v>
      </c>
      <c r="AW55" s="28"/>
      <c r="AX55" s="28"/>
      <c r="AY55" s="28"/>
      <c r="AZ55" s="28"/>
      <c r="BA55" s="28"/>
      <c r="BB55" s="3" t="s">
        <v>25</v>
      </c>
      <c r="BC55" s="3" t="s">
        <v>25</v>
      </c>
      <c r="BD55" s="3" t="s">
        <v>25</v>
      </c>
      <c r="BE55" s="3" t="s">
        <v>25</v>
      </c>
      <c r="BF55" s="3">
        <v>1</v>
      </c>
      <c r="BG55" s="3"/>
      <c r="BH55" s="3"/>
      <c r="BI55" s="3"/>
      <c r="BJ55" s="3"/>
      <c r="BK55" s="3"/>
      <c r="BL55" s="3">
        <v>1</v>
      </c>
      <c r="BM55" s="3"/>
      <c r="BN55" s="28"/>
      <c r="BO55" s="28"/>
      <c r="BP55" s="3"/>
      <c r="BQ55" s="3"/>
      <c r="BR55" s="4">
        <f t="shared" si="16"/>
        <v>8</v>
      </c>
      <c r="BS55" s="36">
        <f t="shared" ref="BS55" si="82">BR55+BR56+BR57*2</f>
        <v>25</v>
      </c>
      <c r="BT55" s="4">
        <f t="shared" si="17"/>
        <v>0</v>
      </c>
      <c r="BU55" s="36">
        <f t="shared" ref="BU55" si="83">BT55+BT56+BT57*2</f>
        <v>0</v>
      </c>
      <c r="BV55" s="34">
        <f>SUM(BU55,BS55)</f>
        <v>25</v>
      </c>
      <c r="BW55" s="1">
        <f t="shared" si="20"/>
        <v>0</v>
      </c>
      <c r="BX55" s="34">
        <f t="shared" ref="BX55" si="84">BW55+BW56+BW57*2</f>
        <v>4</v>
      </c>
      <c r="BY55" s="1">
        <f t="shared" si="18"/>
        <v>0</v>
      </c>
      <c r="BZ55" s="34">
        <f t="shared" ref="BZ55" si="85">BY55+BY56+BY57*2</f>
        <v>0</v>
      </c>
      <c r="CA55" s="34">
        <f>SUM(BZ55,BX55)</f>
        <v>4</v>
      </c>
    </row>
    <row r="56" spans="1:79" ht="16.5" thickTop="1" thickBot="1" x14ac:dyDescent="0.3">
      <c r="A56" s="13">
        <v>6</v>
      </c>
      <c r="B56" s="41"/>
      <c r="C56" s="2">
        <f>BV55</f>
        <v>25</v>
      </c>
      <c r="D56" s="2"/>
      <c r="E56" s="2"/>
      <c r="F56" s="3" t="s">
        <v>25</v>
      </c>
      <c r="G56" s="3" t="s">
        <v>25</v>
      </c>
      <c r="H56" s="3" t="s">
        <v>25</v>
      </c>
      <c r="I56" s="3" t="s">
        <v>25</v>
      </c>
      <c r="J56" s="3" t="s">
        <v>25</v>
      </c>
      <c r="K56" s="3" t="s">
        <v>25</v>
      </c>
      <c r="L56" s="3" t="s">
        <v>25</v>
      </c>
      <c r="M56" s="3" t="s">
        <v>25</v>
      </c>
      <c r="N56" s="3" t="s">
        <v>25</v>
      </c>
      <c r="O56" s="3" t="s">
        <v>25</v>
      </c>
      <c r="P56" s="3" t="s">
        <v>25</v>
      </c>
      <c r="Q56" s="3" t="s">
        <v>25</v>
      </c>
      <c r="R56" s="2">
        <v>1</v>
      </c>
      <c r="S56" s="2"/>
      <c r="T56" s="2">
        <v>1</v>
      </c>
      <c r="U56" s="2"/>
      <c r="V56" s="2"/>
      <c r="W56" s="2"/>
      <c r="X56" s="2"/>
      <c r="Y56" s="2"/>
      <c r="Z56" s="2">
        <v>1</v>
      </c>
      <c r="AA56" s="2"/>
      <c r="AB56" s="2"/>
      <c r="AC56" s="2"/>
      <c r="AD56" s="2" t="s">
        <v>25</v>
      </c>
      <c r="AE56" s="2" t="s">
        <v>25</v>
      </c>
      <c r="AF56" s="2"/>
      <c r="AG56" s="2"/>
      <c r="AH56" s="2"/>
      <c r="AI56" s="2"/>
      <c r="AJ56" s="2"/>
      <c r="AK56" s="2"/>
      <c r="AL56" s="26"/>
      <c r="AM56" s="26"/>
      <c r="AN56" s="3" t="s">
        <v>25</v>
      </c>
      <c r="AO56" s="3" t="s">
        <v>25</v>
      </c>
      <c r="AP56" s="3" t="s">
        <v>25</v>
      </c>
      <c r="AQ56" s="3" t="s">
        <v>25</v>
      </c>
      <c r="AR56" s="2"/>
      <c r="AS56" s="2"/>
      <c r="AT56" s="2"/>
      <c r="AU56" s="2"/>
      <c r="AV56" s="26"/>
      <c r="AW56" s="26"/>
      <c r="AX56" s="26"/>
      <c r="AY56" s="26"/>
      <c r="AZ56" s="26"/>
      <c r="BA56" s="26"/>
      <c r="BB56" s="3" t="s">
        <v>25</v>
      </c>
      <c r="BC56" s="3" t="s">
        <v>25</v>
      </c>
      <c r="BD56" s="3" t="s">
        <v>25</v>
      </c>
      <c r="BE56" s="3" t="s">
        <v>25</v>
      </c>
      <c r="BF56" s="2"/>
      <c r="BG56" s="2"/>
      <c r="BH56" s="2"/>
      <c r="BI56" s="2"/>
      <c r="BJ56" s="2"/>
      <c r="BK56" s="2"/>
      <c r="BL56" s="2"/>
      <c r="BM56" s="2"/>
      <c r="BN56" s="26"/>
      <c r="BO56" s="26"/>
      <c r="BP56" s="2"/>
      <c r="BQ56" s="2"/>
      <c r="BR56" s="4">
        <f t="shared" si="16"/>
        <v>3</v>
      </c>
      <c r="BS56" s="34"/>
      <c r="BT56" s="4">
        <f t="shared" si="17"/>
        <v>0</v>
      </c>
      <c r="BU56" s="34"/>
      <c r="BV56" s="34"/>
      <c r="BW56" s="1">
        <f t="shared" si="20"/>
        <v>0</v>
      </c>
      <c r="BX56" s="34"/>
      <c r="BY56" s="1">
        <f t="shared" si="18"/>
        <v>0</v>
      </c>
      <c r="BZ56" s="34"/>
      <c r="CA56" s="34"/>
    </row>
    <row r="57" spans="1:79" ht="16.5" thickTop="1" thickBot="1" x14ac:dyDescent="0.3">
      <c r="A57" s="14">
        <f t="shared" si="19"/>
        <v>7</v>
      </c>
      <c r="B57" s="42"/>
      <c r="C57" s="23">
        <v>24</v>
      </c>
      <c r="D57" s="23"/>
      <c r="E57" s="23"/>
      <c r="F57" s="3" t="s">
        <v>25</v>
      </c>
      <c r="G57" s="3" t="s">
        <v>25</v>
      </c>
      <c r="H57" s="3" t="s">
        <v>25</v>
      </c>
      <c r="I57" s="3" t="s">
        <v>25</v>
      </c>
      <c r="J57" s="3" t="s">
        <v>25</v>
      </c>
      <c r="K57" s="3" t="s">
        <v>25</v>
      </c>
      <c r="L57" s="3" t="s">
        <v>25</v>
      </c>
      <c r="M57" s="3" t="s">
        <v>25</v>
      </c>
      <c r="N57" s="3" t="s">
        <v>25</v>
      </c>
      <c r="O57" s="3" t="s">
        <v>25</v>
      </c>
      <c r="P57" s="3" t="s">
        <v>25</v>
      </c>
      <c r="Q57" s="3" t="s">
        <v>25</v>
      </c>
      <c r="R57" s="23"/>
      <c r="S57" s="23"/>
      <c r="T57" s="23"/>
      <c r="U57" s="23"/>
      <c r="V57" s="23">
        <v>1</v>
      </c>
      <c r="W57" s="23"/>
      <c r="X57" s="23"/>
      <c r="Y57" s="23"/>
      <c r="Z57" s="23"/>
      <c r="AA57" s="23"/>
      <c r="AB57" s="23">
        <v>1</v>
      </c>
      <c r="AC57" s="23"/>
      <c r="AD57" s="23" t="s">
        <v>25</v>
      </c>
      <c r="AE57" s="23" t="s">
        <v>25</v>
      </c>
      <c r="AF57" s="23"/>
      <c r="AG57" s="23"/>
      <c r="AH57" s="23"/>
      <c r="AI57" s="23"/>
      <c r="AJ57" s="23"/>
      <c r="AK57" s="23"/>
      <c r="AL57" s="27">
        <v>1</v>
      </c>
      <c r="AM57" s="27"/>
      <c r="AN57" s="3" t="s">
        <v>25</v>
      </c>
      <c r="AO57" s="3" t="s">
        <v>25</v>
      </c>
      <c r="AP57" s="3" t="s">
        <v>25</v>
      </c>
      <c r="AQ57" s="3" t="s">
        <v>25</v>
      </c>
      <c r="AR57" s="23">
        <v>1</v>
      </c>
      <c r="AS57" s="23"/>
      <c r="AT57" s="23"/>
      <c r="AU57" s="23"/>
      <c r="AV57" s="27"/>
      <c r="AW57" s="27"/>
      <c r="AX57" s="27"/>
      <c r="AY57" s="27"/>
      <c r="AZ57" s="27">
        <v>1</v>
      </c>
      <c r="BA57" s="27"/>
      <c r="BB57" s="3" t="s">
        <v>25</v>
      </c>
      <c r="BC57" s="3" t="s">
        <v>25</v>
      </c>
      <c r="BD57" s="3" t="s">
        <v>25</v>
      </c>
      <c r="BE57" s="3" t="s">
        <v>25</v>
      </c>
      <c r="BF57" s="23">
        <v>1</v>
      </c>
      <c r="BG57" s="23"/>
      <c r="BH57" s="23"/>
      <c r="BI57" s="23"/>
      <c r="BJ57" s="23"/>
      <c r="BK57" s="23"/>
      <c r="BL57" s="23">
        <v>1</v>
      </c>
      <c r="BM57" s="23"/>
      <c r="BN57" s="27"/>
      <c r="BO57" s="27"/>
      <c r="BP57" s="23"/>
      <c r="BQ57" s="23"/>
      <c r="BR57" s="4">
        <f t="shared" si="16"/>
        <v>7</v>
      </c>
      <c r="BS57" s="35"/>
      <c r="BT57" s="4">
        <f t="shared" si="17"/>
        <v>0</v>
      </c>
      <c r="BU57" s="35"/>
      <c r="BV57" s="35"/>
      <c r="BW57" s="1">
        <f t="shared" si="20"/>
        <v>2</v>
      </c>
      <c r="BX57" s="35"/>
      <c r="BY57" s="1">
        <f t="shared" si="18"/>
        <v>0</v>
      </c>
      <c r="BZ57" s="35"/>
      <c r="CA57" s="35"/>
    </row>
    <row r="58" spans="1:79" ht="16.5" thickTop="1" thickBot="1" x14ac:dyDescent="0.3">
      <c r="A58" s="13" t="s">
        <v>37</v>
      </c>
      <c r="B58" s="40" t="s">
        <v>66</v>
      </c>
      <c r="C58" s="3">
        <f t="shared" si="21"/>
        <v>4</v>
      </c>
      <c r="D58" s="3"/>
      <c r="E58" s="3"/>
      <c r="F58" s="3" t="s">
        <v>25</v>
      </c>
      <c r="G58" s="3" t="s">
        <v>25</v>
      </c>
      <c r="H58" s="3" t="s">
        <v>25</v>
      </c>
      <c r="I58" s="3" t="s">
        <v>25</v>
      </c>
      <c r="J58" s="3" t="s">
        <v>25</v>
      </c>
      <c r="K58" s="3" t="s">
        <v>25</v>
      </c>
      <c r="L58" s="3" t="s">
        <v>25</v>
      </c>
      <c r="M58" s="3" t="s">
        <v>25</v>
      </c>
      <c r="N58" s="3" t="s">
        <v>25</v>
      </c>
      <c r="O58" s="3" t="s">
        <v>25</v>
      </c>
      <c r="P58" s="3" t="s">
        <v>25</v>
      </c>
      <c r="Q58" s="3" t="s">
        <v>25</v>
      </c>
      <c r="R58" s="3"/>
      <c r="S58" s="3"/>
      <c r="T58" s="3">
        <v>1</v>
      </c>
      <c r="U58" s="3"/>
      <c r="V58" s="3"/>
      <c r="W58" s="3"/>
      <c r="X58" s="3">
        <v>1</v>
      </c>
      <c r="Y58" s="3"/>
      <c r="Z58" s="3">
        <v>1</v>
      </c>
      <c r="AA58" s="3"/>
      <c r="AB58" s="3"/>
      <c r="AC58" s="3"/>
      <c r="AD58" s="3">
        <v>1</v>
      </c>
      <c r="AE58" s="3"/>
      <c r="AF58" s="3"/>
      <c r="AG58" s="3"/>
      <c r="AH58" s="3" t="s">
        <v>49</v>
      </c>
      <c r="AI58" s="3"/>
      <c r="AJ58" s="3" t="s">
        <v>25</v>
      </c>
      <c r="AK58" s="3" t="s">
        <v>25</v>
      </c>
      <c r="AL58" s="28"/>
      <c r="AM58" s="28"/>
      <c r="AN58" s="3" t="s">
        <v>25</v>
      </c>
      <c r="AO58" s="3" t="s">
        <v>25</v>
      </c>
      <c r="AP58" s="3">
        <v>1</v>
      </c>
      <c r="AQ58" s="3"/>
      <c r="AR58" s="3">
        <v>1</v>
      </c>
      <c r="AS58" s="3"/>
      <c r="AT58" s="3"/>
      <c r="AU58" s="3"/>
      <c r="AV58" s="28"/>
      <c r="AW58" s="28"/>
      <c r="AX58" s="28" t="s">
        <v>25</v>
      </c>
      <c r="AY58" s="28" t="s">
        <v>25</v>
      </c>
      <c r="AZ58" s="28"/>
      <c r="BA58" s="28"/>
      <c r="BB58" s="3" t="s">
        <v>25</v>
      </c>
      <c r="BC58" s="3" t="s">
        <v>25</v>
      </c>
      <c r="BD58" s="3"/>
      <c r="BE58" s="3"/>
      <c r="BF58" s="3"/>
      <c r="BG58" s="3"/>
      <c r="BH58" s="3">
        <v>1</v>
      </c>
      <c r="BI58" s="3"/>
      <c r="BJ58" s="3"/>
      <c r="BK58" s="3"/>
      <c r="BL58" s="3" t="s">
        <v>25</v>
      </c>
      <c r="BM58" s="3" t="s">
        <v>25</v>
      </c>
      <c r="BN58" s="28"/>
      <c r="BO58" s="28"/>
      <c r="BP58" s="3"/>
      <c r="BQ58" s="3"/>
      <c r="BR58" s="4">
        <f t="shared" si="16"/>
        <v>7</v>
      </c>
      <c r="BS58" s="36">
        <f t="shared" ref="BS58" si="86">BR58+BR59+BR60*2</f>
        <v>24</v>
      </c>
      <c r="BT58" s="4">
        <f t="shared" si="17"/>
        <v>0</v>
      </c>
      <c r="BU58" s="36">
        <f t="shared" ref="BU58" si="87">BT58+BT59+BT60*2</f>
        <v>0</v>
      </c>
      <c r="BV58" s="34">
        <f>SUM(BU58,BS58)</f>
        <v>24</v>
      </c>
      <c r="BW58" s="1">
        <f t="shared" si="20"/>
        <v>0</v>
      </c>
      <c r="BX58" s="34">
        <f t="shared" ref="BX58" si="88">BW58+BW59+BW60*2</f>
        <v>4</v>
      </c>
      <c r="BY58" s="1">
        <f t="shared" si="18"/>
        <v>0</v>
      </c>
      <c r="BZ58" s="34">
        <f t="shared" ref="BZ58" si="89">BY58+BY59+BY60*2</f>
        <v>0</v>
      </c>
      <c r="CA58" s="34">
        <f>SUM(BZ58,BX58)</f>
        <v>4</v>
      </c>
    </row>
    <row r="59" spans="1:79" ht="16.5" thickTop="1" thickBot="1" x14ac:dyDescent="0.3">
      <c r="A59" s="13">
        <v>6</v>
      </c>
      <c r="B59" s="41"/>
      <c r="C59" s="2">
        <f>BV58</f>
        <v>24</v>
      </c>
      <c r="D59" s="2"/>
      <c r="E59" s="2"/>
      <c r="F59" s="3" t="s">
        <v>25</v>
      </c>
      <c r="G59" s="3" t="s">
        <v>25</v>
      </c>
      <c r="H59" s="3" t="s">
        <v>25</v>
      </c>
      <c r="I59" s="3" t="s">
        <v>25</v>
      </c>
      <c r="J59" s="3" t="s">
        <v>25</v>
      </c>
      <c r="K59" s="3" t="s">
        <v>25</v>
      </c>
      <c r="L59" s="3" t="s">
        <v>25</v>
      </c>
      <c r="M59" s="3" t="s">
        <v>25</v>
      </c>
      <c r="N59" s="3" t="s">
        <v>25</v>
      </c>
      <c r="O59" s="3" t="s">
        <v>25</v>
      </c>
      <c r="P59" s="3" t="s">
        <v>25</v>
      </c>
      <c r="Q59" s="3" t="s">
        <v>25</v>
      </c>
      <c r="R59" s="2">
        <v>1</v>
      </c>
      <c r="S59" s="2"/>
      <c r="T59" s="2"/>
      <c r="U59" s="2"/>
      <c r="V59" s="2"/>
      <c r="W59" s="2"/>
      <c r="X59" s="2">
        <v>1</v>
      </c>
      <c r="Y59" s="2"/>
      <c r="Z59" s="2"/>
      <c r="AA59" s="2"/>
      <c r="AB59" s="2"/>
      <c r="AC59" s="2"/>
      <c r="AD59" s="2">
        <v>1</v>
      </c>
      <c r="AE59" s="2"/>
      <c r="AF59" s="2"/>
      <c r="AG59" s="2"/>
      <c r="AH59" s="2"/>
      <c r="AI59" s="2"/>
      <c r="AJ59" s="2"/>
      <c r="AK59" s="2"/>
      <c r="AL59" s="26"/>
      <c r="AM59" s="26"/>
      <c r="AN59" s="2"/>
      <c r="AO59" s="2"/>
      <c r="AP59" s="2">
        <v>1</v>
      </c>
      <c r="AQ59" s="2"/>
      <c r="AR59" s="2">
        <v>1</v>
      </c>
      <c r="AS59" s="2"/>
      <c r="AT59" s="2">
        <v>1</v>
      </c>
      <c r="AU59" s="2"/>
      <c r="AV59" s="26"/>
      <c r="AW59" s="26"/>
      <c r="AX59" s="26"/>
      <c r="AY59" s="26"/>
      <c r="AZ59" s="26"/>
      <c r="BA59" s="26"/>
      <c r="BB59" s="2">
        <v>1</v>
      </c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6"/>
      <c r="BO59" s="26"/>
      <c r="BP59" s="2"/>
      <c r="BQ59" s="2"/>
      <c r="BR59" s="4">
        <f t="shared" si="16"/>
        <v>7</v>
      </c>
      <c r="BS59" s="34"/>
      <c r="BT59" s="4">
        <f t="shared" si="17"/>
        <v>0</v>
      </c>
      <c r="BU59" s="34"/>
      <c r="BV59" s="34"/>
      <c r="BW59" s="1">
        <f t="shared" si="20"/>
        <v>0</v>
      </c>
      <c r="BX59" s="34"/>
      <c r="BY59" s="1">
        <f t="shared" si="18"/>
        <v>0</v>
      </c>
      <c r="BZ59" s="34"/>
      <c r="CA59" s="34"/>
    </row>
    <row r="60" spans="1:79" ht="16.5" thickTop="1" thickBot="1" x14ac:dyDescent="0.3">
      <c r="A60" s="14">
        <f t="shared" si="19"/>
        <v>5</v>
      </c>
      <c r="B60" s="42"/>
      <c r="C60" s="23">
        <v>24</v>
      </c>
      <c r="D60" s="23"/>
      <c r="E60" s="23"/>
      <c r="F60" s="3" t="s">
        <v>25</v>
      </c>
      <c r="G60" s="3" t="s">
        <v>25</v>
      </c>
      <c r="H60" s="3" t="s">
        <v>25</v>
      </c>
      <c r="I60" s="3" t="s">
        <v>25</v>
      </c>
      <c r="J60" s="3" t="s">
        <v>25</v>
      </c>
      <c r="K60" s="3" t="s">
        <v>25</v>
      </c>
      <c r="L60" s="3" t="s">
        <v>25</v>
      </c>
      <c r="M60" s="3" t="s">
        <v>25</v>
      </c>
      <c r="N60" s="3" t="s">
        <v>25</v>
      </c>
      <c r="O60" s="3" t="s">
        <v>25</v>
      </c>
      <c r="P60" s="3" t="s">
        <v>25</v>
      </c>
      <c r="Q60" s="3" t="s">
        <v>25</v>
      </c>
      <c r="R60" s="23"/>
      <c r="S60" s="23"/>
      <c r="T60" s="23">
        <v>1</v>
      </c>
      <c r="U60" s="23"/>
      <c r="V60" s="23"/>
      <c r="W60" s="23"/>
      <c r="X60" s="23"/>
      <c r="Y60" s="23"/>
      <c r="Z60" s="23">
        <v>1</v>
      </c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7">
        <v>1</v>
      </c>
      <c r="AM60" s="27"/>
      <c r="AN60" s="23"/>
      <c r="AO60" s="23"/>
      <c r="AP60" s="23"/>
      <c r="AQ60" s="23"/>
      <c r="AR60" s="23"/>
      <c r="AS60" s="23"/>
      <c r="AT60" s="23"/>
      <c r="AU60" s="23"/>
      <c r="AV60" s="27"/>
      <c r="AW60" s="27"/>
      <c r="AX60" s="27"/>
      <c r="AY60" s="27"/>
      <c r="AZ60" s="27"/>
      <c r="BA60" s="27"/>
      <c r="BB60" s="23"/>
      <c r="BC60" s="23"/>
      <c r="BD60" s="23"/>
      <c r="BE60" s="23"/>
      <c r="BF60" s="23"/>
      <c r="BG60" s="23"/>
      <c r="BH60" s="23">
        <v>1</v>
      </c>
      <c r="BI60" s="23"/>
      <c r="BJ60" s="23"/>
      <c r="BK60" s="23"/>
      <c r="BL60" s="23"/>
      <c r="BM60" s="23"/>
      <c r="BN60" s="27">
        <v>1</v>
      </c>
      <c r="BO60" s="27"/>
      <c r="BP60" s="23"/>
      <c r="BQ60" s="23"/>
      <c r="BR60" s="4">
        <f t="shared" si="16"/>
        <v>5</v>
      </c>
      <c r="BS60" s="35"/>
      <c r="BT60" s="4">
        <f t="shared" si="17"/>
        <v>0</v>
      </c>
      <c r="BU60" s="35"/>
      <c r="BV60" s="35"/>
      <c r="BW60" s="1">
        <f t="shared" si="20"/>
        <v>2</v>
      </c>
      <c r="BX60" s="35"/>
      <c r="BY60" s="1">
        <f t="shared" si="18"/>
        <v>0</v>
      </c>
      <c r="BZ60" s="35"/>
      <c r="CA60" s="35"/>
    </row>
    <row r="61" spans="1:79" ht="16.5" thickTop="1" thickBot="1" x14ac:dyDescent="0.3">
      <c r="A61" s="13" t="s">
        <v>48</v>
      </c>
      <c r="B61" s="37" t="s">
        <v>67</v>
      </c>
      <c r="C61" s="3">
        <f t="shared" si="21"/>
        <v>1</v>
      </c>
      <c r="D61" s="3"/>
      <c r="E61" s="3"/>
      <c r="F61" s="3"/>
      <c r="G61" s="3"/>
      <c r="H61" s="3"/>
      <c r="I61" s="3"/>
      <c r="J61" s="3"/>
      <c r="K61" s="3"/>
      <c r="L61" s="3"/>
      <c r="M61" s="3"/>
      <c r="N61" s="3">
        <v>1</v>
      </c>
      <c r="O61" s="3"/>
      <c r="P61" s="3"/>
      <c r="Q61" s="3"/>
      <c r="R61" s="3" t="s">
        <v>25</v>
      </c>
      <c r="S61" s="3" t="s">
        <v>25</v>
      </c>
      <c r="T61" s="3" t="s">
        <v>25</v>
      </c>
      <c r="U61" s="3" t="s">
        <v>25</v>
      </c>
      <c r="V61" s="3" t="s">
        <v>25</v>
      </c>
      <c r="W61" s="3" t="s">
        <v>25</v>
      </c>
      <c r="X61" s="3" t="s">
        <v>25</v>
      </c>
      <c r="Y61" s="3" t="s">
        <v>25</v>
      </c>
      <c r="Z61" s="3" t="s">
        <v>25</v>
      </c>
      <c r="AA61" s="3" t="s">
        <v>25</v>
      </c>
      <c r="AB61" s="3" t="s">
        <v>25</v>
      </c>
      <c r="AC61" s="3" t="s">
        <v>25</v>
      </c>
      <c r="AD61" s="3" t="s">
        <v>25</v>
      </c>
      <c r="AE61" s="3" t="s">
        <v>25</v>
      </c>
      <c r="AF61" s="3"/>
      <c r="AG61" s="3"/>
      <c r="AH61" s="3"/>
      <c r="AI61" s="3"/>
      <c r="AJ61" s="3" t="s">
        <v>49</v>
      </c>
      <c r="AK61" s="3"/>
      <c r="AL61" s="28"/>
      <c r="AM61" s="28"/>
      <c r="AN61" s="3"/>
      <c r="AO61" s="3"/>
      <c r="AP61" s="3"/>
      <c r="AQ61" s="3"/>
      <c r="AR61" s="3"/>
      <c r="AS61" s="3"/>
      <c r="AT61" s="3"/>
      <c r="AU61" s="3"/>
      <c r="AV61" s="28" t="s">
        <v>25</v>
      </c>
      <c r="AW61" s="28" t="s">
        <v>25</v>
      </c>
      <c r="AX61" s="28" t="s">
        <v>25</v>
      </c>
      <c r="AY61" s="28" t="s">
        <v>25</v>
      </c>
      <c r="AZ61" s="28" t="s">
        <v>25</v>
      </c>
      <c r="BA61" s="28" t="s">
        <v>25</v>
      </c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28"/>
      <c r="BO61" s="28"/>
      <c r="BP61" s="3"/>
      <c r="BQ61" s="3"/>
      <c r="BR61" s="4">
        <f t="shared" si="16"/>
        <v>1</v>
      </c>
      <c r="BS61" s="36">
        <f t="shared" ref="BS61" si="90">BR61+BR62+BR63*2</f>
        <v>25</v>
      </c>
      <c r="BT61" s="4">
        <f t="shared" si="17"/>
        <v>0</v>
      </c>
      <c r="BU61" s="36">
        <f t="shared" ref="BU61" si="91">BT61+BT62+BT63*2</f>
        <v>0</v>
      </c>
      <c r="BV61" s="34">
        <f>SUM(BU61,BS61)</f>
        <v>25</v>
      </c>
      <c r="BW61" s="1">
        <f t="shared" si="20"/>
        <v>0</v>
      </c>
      <c r="BX61" s="34">
        <f t="shared" ref="BX61" si="92">BW61+BW62+BW63*2</f>
        <v>1</v>
      </c>
      <c r="BY61" s="1">
        <f t="shared" si="18"/>
        <v>0</v>
      </c>
      <c r="BZ61" s="34">
        <f t="shared" ref="BZ61" si="93">BY61+BY62+BY63*2</f>
        <v>0</v>
      </c>
      <c r="CA61" s="34">
        <f>SUM(BZ61,BX61)</f>
        <v>1</v>
      </c>
    </row>
    <row r="62" spans="1:79" ht="16.5" thickTop="1" thickBot="1" x14ac:dyDescent="0.3">
      <c r="A62" s="13">
        <v>6</v>
      </c>
      <c r="B62" s="38"/>
      <c r="C62" s="2">
        <f>BV61</f>
        <v>25</v>
      </c>
      <c r="D62" s="2"/>
      <c r="E62" s="2"/>
      <c r="F62" s="2">
        <v>1</v>
      </c>
      <c r="G62" s="2"/>
      <c r="H62" s="2"/>
      <c r="I62" s="2"/>
      <c r="J62" s="2"/>
      <c r="K62" s="2"/>
      <c r="L62" s="2"/>
      <c r="M62" s="2"/>
      <c r="N62" s="2">
        <v>1</v>
      </c>
      <c r="O62" s="2"/>
      <c r="P62" s="2">
        <v>1</v>
      </c>
      <c r="Q62" s="2"/>
      <c r="R62" s="3" t="s">
        <v>25</v>
      </c>
      <c r="S62" s="3" t="s">
        <v>25</v>
      </c>
      <c r="T62" s="3" t="s">
        <v>25</v>
      </c>
      <c r="U62" s="3" t="s">
        <v>25</v>
      </c>
      <c r="V62" s="3" t="s">
        <v>25</v>
      </c>
      <c r="W62" s="3" t="s">
        <v>25</v>
      </c>
      <c r="X62" s="3" t="s">
        <v>25</v>
      </c>
      <c r="Y62" s="3" t="s">
        <v>25</v>
      </c>
      <c r="Z62" s="3" t="s">
        <v>25</v>
      </c>
      <c r="AA62" s="3" t="s">
        <v>25</v>
      </c>
      <c r="AB62" s="3" t="s">
        <v>25</v>
      </c>
      <c r="AC62" s="3" t="s">
        <v>25</v>
      </c>
      <c r="AD62" s="3" t="s">
        <v>25</v>
      </c>
      <c r="AE62" s="3" t="s">
        <v>25</v>
      </c>
      <c r="AF62" s="2">
        <v>1</v>
      </c>
      <c r="AG62" s="2"/>
      <c r="AH62" s="2"/>
      <c r="AI62" s="2"/>
      <c r="AJ62" s="2"/>
      <c r="AK62" s="2"/>
      <c r="AL62" s="26"/>
      <c r="AM62" s="26"/>
      <c r="AN62" s="2">
        <v>1</v>
      </c>
      <c r="AO62" s="2"/>
      <c r="AP62" s="2"/>
      <c r="AQ62" s="2"/>
      <c r="AR62" s="2">
        <v>1</v>
      </c>
      <c r="AS62" s="2"/>
      <c r="AT62" s="2"/>
      <c r="AU62" s="2"/>
      <c r="AV62" s="28" t="s">
        <v>25</v>
      </c>
      <c r="AW62" s="28" t="s">
        <v>25</v>
      </c>
      <c r="AX62" s="28" t="s">
        <v>25</v>
      </c>
      <c r="AY62" s="28" t="s">
        <v>25</v>
      </c>
      <c r="AZ62" s="28">
        <v>1</v>
      </c>
      <c r="BA62" s="28" t="s">
        <v>25</v>
      </c>
      <c r="BB62" s="2"/>
      <c r="BC62" s="2"/>
      <c r="BD62" s="2">
        <v>1</v>
      </c>
      <c r="BE62" s="2"/>
      <c r="BF62" s="2"/>
      <c r="BG62" s="2"/>
      <c r="BH62" s="2"/>
      <c r="BI62" s="2"/>
      <c r="BJ62" s="2">
        <v>1</v>
      </c>
      <c r="BK62" s="2"/>
      <c r="BL62" s="2">
        <v>1</v>
      </c>
      <c r="BM62" s="2"/>
      <c r="BN62" s="26"/>
      <c r="BO62" s="26"/>
      <c r="BP62" s="2"/>
      <c r="BQ62" s="2"/>
      <c r="BR62" s="4">
        <f t="shared" si="16"/>
        <v>10</v>
      </c>
      <c r="BS62" s="34"/>
      <c r="BT62" s="4">
        <f t="shared" si="17"/>
        <v>0</v>
      </c>
      <c r="BU62" s="34"/>
      <c r="BV62" s="34"/>
      <c r="BW62" s="1">
        <f t="shared" si="20"/>
        <v>1</v>
      </c>
      <c r="BX62" s="34"/>
      <c r="BY62" s="1">
        <f t="shared" si="18"/>
        <v>0</v>
      </c>
      <c r="BZ62" s="34"/>
      <c r="CA62" s="34"/>
    </row>
    <row r="63" spans="1:79" ht="16.5" thickTop="1" thickBot="1" x14ac:dyDescent="0.3">
      <c r="A63" s="14">
        <f t="shared" si="19"/>
        <v>7</v>
      </c>
      <c r="B63" s="39"/>
      <c r="C63" s="23">
        <v>24</v>
      </c>
      <c r="D63" s="23"/>
      <c r="E63" s="23"/>
      <c r="F63" s="23">
        <v>1</v>
      </c>
      <c r="G63" s="23"/>
      <c r="H63" s="23"/>
      <c r="I63" s="23"/>
      <c r="J63" s="23">
        <v>1</v>
      </c>
      <c r="K63" s="23"/>
      <c r="L63" s="23"/>
      <c r="M63" s="23"/>
      <c r="N63" s="23"/>
      <c r="O63" s="23"/>
      <c r="P63" s="23">
        <v>1</v>
      </c>
      <c r="Q63" s="23"/>
      <c r="R63" s="3" t="s">
        <v>25</v>
      </c>
      <c r="S63" s="3" t="s">
        <v>25</v>
      </c>
      <c r="T63" s="3" t="s">
        <v>25</v>
      </c>
      <c r="U63" s="3" t="s">
        <v>25</v>
      </c>
      <c r="V63" s="3" t="s">
        <v>25</v>
      </c>
      <c r="W63" s="3" t="s">
        <v>25</v>
      </c>
      <c r="X63" s="3" t="s">
        <v>25</v>
      </c>
      <c r="Y63" s="3" t="s">
        <v>25</v>
      </c>
      <c r="Z63" s="3" t="s">
        <v>25</v>
      </c>
      <c r="AA63" s="3" t="s">
        <v>25</v>
      </c>
      <c r="AB63" s="3" t="s">
        <v>25</v>
      </c>
      <c r="AC63" s="3" t="s">
        <v>25</v>
      </c>
      <c r="AD63" s="3" t="s">
        <v>25</v>
      </c>
      <c r="AE63" s="3" t="s">
        <v>25</v>
      </c>
      <c r="AF63" s="23">
        <v>1</v>
      </c>
      <c r="AG63" s="23"/>
      <c r="AH63" s="23"/>
      <c r="AI63" s="23"/>
      <c r="AJ63" s="23"/>
      <c r="AK63" s="23"/>
      <c r="AL63" s="27"/>
      <c r="AM63" s="27"/>
      <c r="AN63" s="23">
        <v>1</v>
      </c>
      <c r="AO63" s="23"/>
      <c r="AP63" s="23"/>
      <c r="AQ63" s="23"/>
      <c r="AR63" s="23">
        <v>1</v>
      </c>
      <c r="AS63" s="23"/>
      <c r="AT63" s="23"/>
      <c r="AU63" s="23"/>
      <c r="AV63" s="28" t="s">
        <v>25</v>
      </c>
      <c r="AW63" s="28" t="s">
        <v>25</v>
      </c>
      <c r="AX63" s="28" t="s">
        <v>25</v>
      </c>
      <c r="AY63" s="28" t="s">
        <v>25</v>
      </c>
      <c r="AZ63" s="28" t="s">
        <v>25</v>
      </c>
      <c r="BA63" s="28" t="s">
        <v>25</v>
      </c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>
        <v>1</v>
      </c>
      <c r="BM63" s="23"/>
      <c r="BN63" s="27"/>
      <c r="BO63" s="27"/>
      <c r="BP63" s="23"/>
      <c r="BQ63" s="23"/>
      <c r="BR63" s="4">
        <f t="shared" si="16"/>
        <v>7</v>
      </c>
      <c r="BS63" s="35"/>
      <c r="BT63" s="4">
        <f t="shared" si="17"/>
        <v>0</v>
      </c>
      <c r="BU63" s="35"/>
      <c r="BV63" s="35"/>
      <c r="BW63" s="1">
        <f t="shared" si="20"/>
        <v>0</v>
      </c>
      <c r="BX63" s="35"/>
      <c r="BY63" s="1">
        <f t="shared" si="18"/>
        <v>0</v>
      </c>
      <c r="BZ63" s="35"/>
      <c r="CA63" s="35"/>
    </row>
    <row r="64" spans="1:79" ht="16.5" thickTop="1" thickBot="1" x14ac:dyDescent="0.3">
      <c r="A64" s="13" t="s">
        <v>43</v>
      </c>
      <c r="B64" s="37" t="s">
        <v>68</v>
      </c>
      <c r="C64" s="3">
        <f t="shared" si="21"/>
        <v>5</v>
      </c>
      <c r="D64" s="3"/>
      <c r="E64" s="3"/>
      <c r="F64" s="3" t="s">
        <v>25</v>
      </c>
      <c r="G64" s="3" t="s">
        <v>25</v>
      </c>
      <c r="H64" s="3" t="s">
        <v>25</v>
      </c>
      <c r="I64" s="3" t="s">
        <v>25</v>
      </c>
      <c r="J64" s="3" t="s">
        <v>25</v>
      </c>
      <c r="K64" s="3" t="s">
        <v>25</v>
      </c>
      <c r="L64" s="3" t="s">
        <v>25</v>
      </c>
      <c r="M64" s="3" t="s">
        <v>25</v>
      </c>
      <c r="N64" s="3" t="s">
        <v>25</v>
      </c>
      <c r="O64" s="3" t="s">
        <v>25</v>
      </c>
      <c r="P64" s="3" t="s">
        <v>25</v>
      </c>
      <c r="Q64" s="3" t="s">
        <v>25</v>
      </c>
      <c r="R64" s="3">
        <v>1</v>
      </c>
      <c r="S64" s="3"/>
      <c r="T64" s="3"/>
      <c r="U64" s="3"/>
      <c r="V64" s="3"/>
      <c r="W64" s="3"/>
      <c r="X64" s="3">
        <v>1</v>
      </c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28">
        <v>1</v>
      </c>
      <c r="AM64" s="28"/>
      <c r="AN64" s="3" t="s">
        <v>49</v>
      </c>
      <c r="AO64" s="3"/>
      <c r="AP64" s="3"/>
      <c r="AQ64" s="3"/>
      <c r="AR64" s="3"/>
      <c r="AS64" s="3"/>
      <c r="AT64" s="3"/>
      <c r="AU64" s="3"/>
      <c r="AV64" s="28"/>
      <c r="AW64" s="28"/>
      <c r="AX64" s="28"/>
      <c r="AY64" s="28"/>
      <c r="AZ64" s="28"/>
      <c r="BA64" s="28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28"/>
      <c r="BO64" s="28"/>
      <c r="BP64" s="3"/>
      <c r="BQ64" s="3"/>
      <c r="BR64" s="4">
        <f t="shared" si="16"/>
        <v>3</v>
      </c>
      <c r="BS64" s="36">
        <f t="shared" ref="BS64" si="94">BR64+BR65+BR66*2</f>
        <v>26</v>
      </c>
      <c r="BT64" s="4">
        <f t="shared" si="17"/>
        <v>0</v>
      </c>
      <c r="BU64" s="36">
        <f t="shared" ref="BU64" si="95">BT64+BT65+BT66*2</f>
        <v>0</v>
      </c>
      <c r="BV64" s="34">
        <f>SUM(BU64,BS64)</f>
        <v>26</v>
      </c>
      <c r="BW64" s="1">
        <f t="shared" si="20"/>
        <v>1</v>
      </c>
      <c r="BX64" s="34">
        <f t="shared" ref="BX64" si="96">BW64+BW65+BW66*2</f>
        <v>5</v>
      </c>
      <c r="BY64" s="1">
        <f t="shared" si="18"/>
        <v>0</v>
      </c>
      <c r="BZ64" s="34">
        <f t="shared" ref="BZ64" si="97">BY64+BY65+BY66*2</f>
        <v>0</v>
      </c>
      <c r="CA64" s="34">
        <f>SUM(BZ64,BX64)</f>
        <v>5</v>
      </c>
    </row>
    <row r="65" spans="1:79" ht="16.5" thickTop="1" thickBot="1" x14ac:dyDescent="0.3">
      <c r="A65" s="13">
        <v>6</v>
      </c>
      <c r="B65" s="38"/>
      <c r="C65" s="2">
        <f>BV64</f>
        <v>26</v>
      </c>
      <c r="D65" s="2"/>
      <c r="E65" s="2"/>
      <c r="F65" s="3" t="s">
        <v>25</v>
      </c>
      <c r="G65" s="3" t="s">
        <v>25</v>
      </c>
      <c r="H65" s="3" t="s">
        <v>25</v>
      </c>
      <c r="I65" s="3" t="s">
        <v>25</v>
      </c>
      <c r="J65" s="3" t="s">
        <v>25</v>
      </c>
      <c r="K65" s="3" t="s">
        <v>25</v>
      </c>
      <c r="L65" s="3" t="s">
        <v>25</v>
      </c>
      <c r="M65" s="3" t="s">
        <v>25</v>
      </c>
      <c r="N65" s="3" t="s">
        <v>25</v>
      </c>
      <c r="O65" s="3" t="s">
        <v>25</v>
      </c>
      <c r="P65" s="3" t="s">
        <v>25</v>
      </c>
      <c r="Q65" s="3" t="s">
        <v>25</v>
      </c>
      <c r="R65" s="2">
        <v>1</v>
      </c>
      <c r="S65" s="2"/>
      <c r="T65" s="2">
        <v>1</v>
      </c>
      <c r="U65" s="2"/>
      <c r="V65" s="2"/>
      <c r="W65" s="2"/>
      <c r="X65" s="2"/>
      <c r="Y65" s="2"/>
      <c r="Z65" s="2"/>
      <c r="AA65" s="2"/>
      <c r="AB65" s="2">
        <v>1</v>
      </c>
      <c r="AC65" s="2"/>
      <c r="AD65" s="2"/>
      <c r="AE65" s="2"/>
      <c r="AF65" s="2">
        <v>1</v>
      </c>
      <c r="AG65" s="2"/>
      <c r="AH65" s="2"/>
      <c r="AI65" s="2"/>
      <c r="AJ65" s="2">
        <v>1</v>
      </c>
      <c r="AK65" s="2"/>
      <c r="AL65" s="26">
        <v>1</v>
      </c>
      <c r="AM65" s="26"/>
      <c r="AN65" s="2"/>
      <c r="AO65" s="2"/>
      <c r="AP65" s="2"/>
      <c r="AQ65" s="2"/>
      <c r="AR65" s="2"/>
      <c r="AS65" s="2"/>
      <c r="AT65" s="2"/>
      <c r="AU65" s="2"/>
      <c r="AV65" s="26"/>
      <c r="AW65" s="26"/>
      <c r="AX65" s="26">
        <v>1</v>
      </c>
      <c r="AY65" s="26"/>
      <c r="AZ65" s="26"/>
      <c r="BA65" s="26"/>
      <c r="BB65" s="2"/>
      <c r="BC65" s="2"/>
      <c r="BD65" s="2"/>
      <c r="BE65" s="2"/>
      <c r="BF65" s="2">
        <v>1</v>
      </c>
      <c r="BG65" s="2"/>
      <c r="BH65" s="2"/>
      <c r="BI65" s="2"/>
      <c r="BJ65" s="2"/>
      <c r="BK65" s="2"/>
      <c r="BL65" s="2">
        <v>1</v>
      </c>
      <c r="BM65" s="2"/>
      <c r="BN65" s="26"/>
      <c r="BO65" s="26"/>
      <c r="BP65" s="2"/>
      <c r="BQ65" s="2"/>
      <c r="BR65" s="4">
        <f t="shared" si="16"/>
        <v>9</v>
      </c>
      <c r="BS65" s="34"/>
      <c r="BT65" s="4">
        <f t="shared" si="17"/>
        <v>0</v>
      </c>
      <c r="BU65" s="34"/>
      <c r="BV65" s="34"/>
      <c r="BW65" s="1">
        <f t="shared" si="20"/>
        <v>2</v>
      </c>
      <c r="BX65" s="34"/>
      <c r="BY65" s="1">
        <f t="shared" si="18"/>
        <v>0</v>
      </c>
      <c r="BZ65" s="34"/>
      <c r="CA65" s="34"/>
    </row>
    <row r="66" spans="1:79" ht="16.5" thickTop="1" thickBot="1" x14ac:dyDescent="0.3">
      <c r="A66" s="14">
        <f t="shared" si="19"/>
        <v>7</v>
      </c>
      <c r="B66" s="39"/>
      <c r="C66" s="23">
        <v>24</v>
      </c>
      <c r="D66" s="23"/>
      <c r="E66" s="23"/>
      <c r="F66" s="3" t="s">
        <v>25</v>
      </c>
      <c r="G66" s="3" t="s">
        <v>25</v>
      </c>
      <c r="H66" s="3" t="s">
        <v>25</v>
      </c>
      <c r="I66" s="3" t="s">
        <v>25</v>
      </c>
      <c r="J66" s="3" t="s">
        <v>25</v>
      </c>
      <c r="K66" s="3" t="s">
        <v>25</v>
      </c>
      <c r="L66" s="3" t="s">
        <v>25</v>
      </c>
      <c r="M66" s="3" t="s">
        <v>25</v>
      </c>
      <c r="N66" s="3" t="s">
        <v>25</v>
      </c>
      <c r="O66" s="3" t="s">
        <v>25</v>
      </c>
      <c r="P66" s="3" t="s">
        <v>25</v>
      </c>
      <c r="Q66" s="3" t="s">
        <v>25</v>
      </c>
      <c r="R66" s="23"/>
      <c r="S66" s="23"/>
      <c r="T66" s="23">
        <v>1</v>
      </c>
      <c r="U66" s="23"/>
      <c r="V66" s="23"/>
      <c r="W66" s="23"/>
      <c r="X66" s="23">
        <v>1</v>
      </c>
      <c r="Y66" s="23"/>
      <c r="Z66" s="23"/>
      <c r="AA66" s="23"/>
      <c r="AB66" s="23">
        <v>1</v>
      </c>
      <c r="AC66" s="23"/>
      <c r="AD66" s="23"/>
      <c r="AE66" s="23"/>
      <c r="AF66" s="23"/>
      <c r="AG66" s="23"/>
      <c r="AH66" s="23"/>
      <c r="AI66" s="23"/>
      <c r="AJ66" s="23"/>
      <c r="AK66" s="23"/>
      <c r="AL66" s="27"/>
      <c r="AM66" s="27"/>
      <c r="AN66" s="23"/>
      <c r="AO66" s="23"/>
      <c r="AP66" s="23"/>
      <c r="AQ66" s="23"/>
      <c r="AR66" s="23"/>
      <c r="AS66" s="23"/>
      <c r="AT66" s="23">
        <v>1</v>
      </c>
      <c r="AU66" s="23"/>
      <c r="AV66" s="27"/>
      <c r="AW66" s="27"/>
      <c r="AX66" s="27">
        <v>1</v>
      </c>
      <c r="AY66" s="27"/>
      <c r="AZ66" s="27"/>
      <c r="BA66" s="27"/>
      <c r="BB66" s="23"/>
      <c r="BC66" s="23"/>
      <c r="BD66" s="23"/>
      <c r="BE66" s="23"/>
      <c r="BF66" s="23">
        <v>1</v>
      </c>
      <c r="BG66" s="23"/>
      <c r="BH66" s="23"/>
      <c r="BI66" s="23"/>
      <c r="BJ66" s="23"/>
      <c r="BK66" s="23"/>
      <c r="BL66" s="23">
        <v>1</v>
      </c>
      <c r="BM66" s="23"/>
      <c r="BN66" s="27"/>
      <c r="BO66" s="27"/>
      <c r="BP66" s="23"/>
      <c r="BQ66" s="23"/>
      <c r="BR66" s="4">
        <f t="shared" si="16"/>
        <v>7</v>
      </c>
      <c r="BS66" s="35"/>
      <c r="BT66" s="4">
        <f t="shared" si="17"/>
        <v>0</v>
      </c>
      <c r="BU66" s="35"/>
      <c r="BV66" s="35"/>
      <c r="BW66" s="1">
        <f t="shared" si="20"/>
        <v>1</v>
      </c>
      <c r="BX66" s="35"/>
      <c r="BY66" s="1">
        <f t="shared" si="18"/>
        <v>0</v>
      </c>
      <c r="BZ66" s="35"/>
      <c r="CA66" s="35"/>
    </row>
    <row r="67" spans="1:79" ht="16.5" thickTop="1" thickBot="1" x14ac:dyDescent="0.3">
      <c r="A67" s="13" t="s">
        <v>37</v>
      </c>
      <c r="B67" s="37" t="s">
        <v>69</v>
      </c>
      <c r="C67" s="3">
        <f t="shared" si="21"/>
        <v>4</v>
      </c>
      <c r="D67" s="3"/>
      <c r="E67" s="3"/>
      <c r="F67" s="3"/>
      <c r="G67" s="3"/>
      <c r="H67" s="3">
        <v>1</v>
      </c>
      <c r="I67" s="3"/>
      <c r="J67" s="3">
        <v>1</v>
      </c>
      <c r="K67" s="3"/>
      <c r="L67" s="3"/>
      <c r="M67" s="3"/>
      <c r="N67" s="3"/>
      <c r="O67" s="3"/>
      <c r="P67" s="3">
        <v>1</v>
      </c>
      <c r="Q67" s="3"/>
      <c r="R67" s="3" t="s">
        <v>25</v>
      </c>
      <c r="S67" s="3" t="s">
        <v>25</v>
      </c>
      <c r="T67" s="3" t="s">
        <v>25</v>
      </c>
      <c r="U67" s="3" t="s">
        <v>25</v>
      </c>
      <c r="V67" s="3" t="s">
        <v>25</v>
      </c>
      <c r="W67" s="3" t="s">
        <v>25</v>
      </c>
      <c r="X67" s="3" t="s">
        <v>25</v>
      </c>
      <c r="Y67" s="3" t="s">
        <v>25</v>
      </c>
      <c r="Z67" s="3" t="s">
        <v>25</v>
      </c>
      <c r="AA67" s="3" t="s">
        <v>25</v>
      </c>
      <c r="AB67" s="3" t="s">
        <v>25</v>
      </c>
      <c r="AC67" s="3" t="s">
        <v>25</v>
      </c>
      <c r="AD67" s="3" t="s">
        <v>25</v>
      </c>
      <c r="AE67" s="3" t="s">
        <v>25</v>
      </c>
      <c r="AF67" s="3">
        <v>1</v>
      </c>
      <c r="AG67" s="3"/>
      <c r="AH67" s="3" t="s">
        <v>25</v>
      </c>
      <c r="AI67" s="3" t="s">
        <v>25</v>
      </c>
      <c r="AJ67" s="3"/>
      <c r="AK67" s="3"/>
      <c r="AL67" s="28"/>
      <c r="AM67" s="28"/>
      <c r="AN67" s="3"/>
      <c r="AO67" s="3"/>
      <c r="AP67" s="3">
        <v>1</v>
      </c>
      <c r="AQ67" s="3"/>
      <c r="AR67" s="3"/>
      <c r="AS67" s="3"/>
      <c r="AT67" s="3">
        <v>1</v>
      </c>
      <c r="AU67" s="3"/>
      <c r="AV67" s="28"/>
      <c r="AW67" s="28"/>
      <c r="AX67" s="28">
        <v>1</v>
      </c>
      <c r="AY67" s="28"/>
      <c r="AZ67" s="28">
        <v>1</v>
      </c>
      <c r="BA67" s="28"/>
      <c r="BB67" s="3"/>
      <c r="BC67" s="3"/>
      <c r="BD67" s="3"/>
      <c r="BE67" s="3"/>
      <c r="BF67" s="3" t="s">
        <v>49</v>
      </c>
      <c r="BG67" s="3"/>
      <c r="BH67" s="3"/>
      <c r="BI67" s="3"/>
      <c r="BJ67" s="3">
        <v>1</v>
      </c>
      <c r="BK67" s="3"/>
      <c r="BL67" s="3"/>
      <c r="BM67" s="3"/>
      <c r="BN67" s="28"/>
      <c r="BO67" s="28"/>
      <c r="BP67" s="3"/>
      <c r="BQ67" s="3"/>
      <c r="BR67" s="4">
        <f t="shared" si="16"/>
        <v>9</v>
      </c>
      <c r="BS67" s="36">
        <f t="shared" ref="BS67" si="98">BR67+BR68+BR69*2</f>
        <v>26</v>
      </c>
      <c r="BT67" s="4">
        <f t="shared" si="17"/>
        <v>0</v>
      </c>
      <c r="BU67" s="36">
        <f t="shared" ref="BU67" si="99">BT67+BT68+BT69*2</f>
        <v>0</v>
      </c>
      <c r="BV67" s="34">
        <f>SUM(BU67,BS67)</f>
        <v>26</v>
      </c>
      <c r="BW67" s="1">
        <f t="shared" si="20"/>
        <v>2</v>
      </c>
      <c r="BX67" s="34">
        <f t="shared" ref="BX67" si="100">BW67+BW68+BW69*2</f>
        <v>4</v>
      </c>
      <c r="BY67" s="1">
        <f t="shared" si="18"/>
        <v>0</v>
      </c>
      <c r="BZ67" s="34">
        <f t="shared" ref="BZ67" si="101">BY67+BY68+BY69*2</f>
        <v>0</v>
      </c>
      <c r="CA67" s="34">
        <f>SUM(BZ67,BX67)</f>
        <v>4</v>
      </c>
    </row>
    <row r="68" spans="1:79" ht="16.5" thickTop="1" thickBot="1" x14ac:dyDescent="0.3">
      <c r="A68" s="13">
        <v>6</v>
      </c>
      <c r="B68" s="38"/>
      <c r="C68" s="2">
        <f>BV67</f>
        <v>26</v>
      </c>
      <c r="D68" s="2"/>
      <c r="E68" s="2"/>
      <c r="F68" s="2"/>
      <c r="G68" s="2"/>
      <c r="H68" s="2">
        <v>1</v>
      </c>
      <c r="I68" s="2"/>
      <c r="J68" s="2">
        <v>1</v>
      </c>
      <c r="K68" s="2"/>
      <c r="L68" s="2">
        <v>1</v>
      </c>
      <c r="M68" s="2"/>
      <c r="N68" s="2"/>
      <c r="O68" s="2"/>
      <c r="P68" s="2">
        <v>1</v>
      </c>
      <c r="Q68" s="2"/>
      <c r="R68" s="3" t="s">
        <v>25</v>
      </c>
      <c r="S68" s="3" t="s">
        <v>25</v>
      </c>
      <c r="T68" s="3" t="s">
        <v>25</v>
      </c>
      <c r="U68" s="3" t="s">
        <v>25</v>
      </c>
      <c r="V68" s="3" t="s">
        <v>25</v>
      </c>
      <c r="W68" s="3" t="s">
        <v>25</v>
      </c>
      <c r="X68" s="3" t="s">
        <v>25</v>
      </c>
      <c r="Y68" s="3" t="s">
        <v>25</v>
      </c>
      <c r="Z68" s="3" t="s">
        <v>25</v>
      </c>
      <c r="AA68" s="3" t="s">
        <v>25</v>
      </c>
      <c r="AB68" s="3" t="s">
        <v>25</v>
      </c>
      <c r="AC68" s="3" t="s">
        <v>25</v>
      </c>
      <c r="AD68" s="3" t="s">
        <v>25</v>
      </c>
      <c r="AE68" s="3" t="s">
        <v>25</v>
      </c>
      <c r="AF68" s="2"/>
      <c r="AG68" s="2"/>
      <c r="AH68" s="2" t="s">
        <v>25</v>
      </c>
      <c r="AI68" s="2" t="s">
        <v>25</v>
      </c>
      <c r="AJ68" s="2"/>
      <c r="AK68" s="2"/>
      <c r="AL68" s="26"/>
      <c r="AM68" s="26"/>
      <c r="AN68" s="2"/>
      <c r="AO68" s="2"/>
      <c r="AP68" s="2"/>
      <c r="AQ68" s="2"/>
      <c r="AR68" s="2"/>
      <c r="AS68" s="2"/>
      <c r="AT68" s="2">
        <v>1</v>
      </c>
      <c r="AU68" s="2"/>
      <c r="AV68" s="26"/>
      <c r="AW68" s="26"/>
      <c r="AX68" s="26"/>
      <c r="AY68" s="26"/>
      <c r="AZ68" s="26"/>
      <c r="BA68" s="26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6"/>
      <c r="BO68" s="26"/>
      <c r="BP68" s="2"/>
      <c r="BQ68" s="2"/>
      <c r="BR68" s="4">
        <f t="shared" si="16"/>
        <v>5</v>
      </c>
      <c r="BS68" s="34"/>
      <c r="BT68" s="4">
        <f t="shared" si="17"/>
        <v>0</v>
      </c>
      <c r="BU68" s="34"/>
      <c r="BV68" s="34"/>
      <c r="BW68" s="1">
        <f t="shared" si="20"/>
        <v>0</v>
      </c>
      <c r="BX68" s="34"/>
      <c r="BY68" s="1">
        <f t="shared" si="18"/>
        <v>0</v>
      </c>
      <c r="BZ68" s="34"/>
      <c r="CA68" s="34"/>
    </row>
    <row r="69" spans="1:79" ht="16.5" thickTop="1" thickBot="1" x14ac:dyDescent="0.3">
      <c r="A69" s="14">
        <f t="shared" si="19"/>
        <v>6</v>
      </c>
      <c r="B69" s="39"/>
      <c r="C69" s="23">
        <v>24</v>
      </c>
      <c r="D69" s="23"/>
      <c r="E69" s="23"/>
      <c r="F69" s="23"/>
      <c r="G69" s="23"/>
      <c r="H69" s="23"/>
      <c r="I69" s="23"/>
      <c r="J69" s="23"/>
      <c r="K69" s="23"/>
      <c r="L69" s="23">
        <v>1</v>
      </c>
      <c r="M69" s="23"/>
      <c r="N69" s="23"/>
      <c r="O69" s="23"/>
      <c r="P69" s="23"/>
      <c r="Q69" s="23"/>
      <c r="R69" s="3" t="s">
        <v>25</v>
      </c>
      <c r="S69" s="3" t="s">
        <v>25</v>
      </c>
      <c r="T69" s="3" t="s">
        <v>25</v>
      </c>
      <c r="U69" s="3" t="s">
        <v>25</v>
      </c>
      <c r="V69" s="3" t="s">
        <v>25</v>
      </c>
      <c r="W69" s="3" t="s">
        <v>25</v>
      </c>
      <c r="X69" s="3" t="s">
        <v>25</v>
      </c>
      <c r="Y69" s="3" t="s">
        <v>25</v>
      </c>
      <c r="Z69" s="3" t="s">
        <v>25</v>
      </c>
      <c r="AA69" s="3" t="s">
        <v>25</v>
      </c>
      <c r="AB69" s="3" t="s">
        <v>25</v>
      </c>
      <c r="AC69" s="3" t="s">
        <v>25</v>
      </c>
      <c r="AD69" s="3" t="s">
        <v>25</v>
      </c>
      <c r="AE69" s="3" t="s">
        <v>25</v>
      </c>
      <c r="AF69" s="23"/>
      <c r="AG69" s="23"/>
      <c r="AH69" s="23" t="s">
        <v>25</v>
      </c>
      <c r="AI69" s="23" t="s">
        <v>25</v>
      </c>
      <c r="AJ69" s="23">
        <v>1</v>
      </c>
      <c r="AK69" s="23"/>
      <c r="AL69" s="27"/>
      <c r="AM69" s="27"/>
      <c r="AN69" s="23"/>
      <c r="AO69" s="23"/>
      <c r="AP69" s="23">
        <v>1</v>
      </c>
      <c r="AQ69" s="23"/>
      <c r="AR69" s="23"/>
      <c r="AS69" s="23"/>
      <c r="AT69" s="23"/>
      <c r="AU69" s="23"/>
      <c r="AV69" s="27"/>
      <c r="AW69" s="27"/>
      <c r="AX69" s="27"/>
      <c r="AY69" s="27"/>
      <c r="AZ69" s="27">
        <v>1</v>
      </c>
      <c r="BA69" s="27"/>
      <c r="BB69" s="23"/>
      <c r="BC69" s="23"/>
      <c r="BD69" s="23">
        <v>1</v>
      </c>
      <c r="BE69" s="23"/>
      <c r="BF69" s="23"/>
      <c r="BG69" s="23"/>
      <c r="BH69" s="23"/>
      <c r="BI69" s="23"/>
      <c r="BJ69" s="23">
        <v>1</v>
      </c>
      <c r="BK69" s="23"/>
      <c r="BL69" s="23"/>
      <c r="BM69" s="23"/>
      <c r="BN69" s="27"/>
      <c r="BO69" s="27"/>
      <c r="BP69" s="23"/>
      <c r="BQ69" s="23"/>
      <c r="BR69" s="4">
        <f t="shared" si="16"/>
        <v>6</v>
      </c>
      <c r="BS69" s="35"/>
      <c r="BT69" s="4">
        <f t="shared" si="17"/>
        <v>0</v>
      </c>
      <c r="BU69" s="35"/>
      <c r="BV69" s="35"/>
      <c r="BW69" s="1">
        <f t="shared" si="20"/>
        <v>1</v>
      </c>
      <c r="BX69" s="35"/>
      <c r="BY69" s="1">
        <f t="shared" si="18"/>
        <v>0</v>
      </c>
      <c r="BZ69" s="35"/>
      <c r="CA69" s="35"/>
    </row>
    <row r="70" spans="1:79" ht="16.5" thickTop="1" thickBot="1" x14ac:dyDescent="0.3">
      <c r="A70" s="13" t="s">
        <v>36</v>
      </c>
      <c r="B70" s="37" t="s">
        <v>70</v>
      </c>
      <c r="C70" s="3">
        <f t="shared" si="21"/>
        <v>3</v>
      </c>
      <c r="D70" s="3"/>
      <c r="E70" s="3"/>
      <c r="F70" s="3">
        <v>1</v>
      </c>
      <c r="G70" s="3"/>
      <c r="H70" s="3"/>
      <c r="I70" s="3"/>
      <c r="J70" s="3">
        <v>1</v>
      </c>
      <c r="K70" s="3"/>
      <c r="L70" s="3"/>
      <c r="M70" s="3"/>
      <c r="N70" s="3"/>
      <c r="O70" s="3"/>
      <c r="P70" s="3"/>
      <c r="Q70" s="3"/>
      <c r="R70" s="3" t="s">
        <v>25</v>
      </c>
      <c r="S70" s="3" t="s">
        <v>25</v>
      </c>
      <c r="T70" s="3" t="s">
        <v>25</v>
      </c>
      <c r="U70" s="3" t="s">
        <v>25</v>
      </c>
      <c r="V70" s="3" t="s">
        <v>25</v>
      </c>
      <c r="W70" s="3" t="s">
        <v>25</v>
      </c>
      <c r="X70" s="3" t="s">
        <v>25</v>
      </c>
      <c r="Y70" s="3" t="s">
        <v>25</v>
      </c>
      <c r="Z70" s="3" t="s">
        <v>25</v>
      </c>
      <c r="AA70" s="3" t="s">
        <v>25</v>
      </c>
      <c r="AB70" s="3" t="s">
        <v>25</v>
      </c>
      <c r="AC70" s="3" t="s">
        <v>25</v>
      </c>
      <c r="AD70" s="3" t="s">
        <v>25</v>
      </c>
      <c r="AE70" s="3" t="s">
        <v>25</v>
      </c>
      <c r="AF70" s="3">
        <v>1</v>
      </c>
      <c r="AG70" s="3"/>
      <c r="AH70" s="3"/>
      <c r="AI70" s="3"/>
      <c r="AJ70" s="3"/>
      <c r="AK70" s="3"/>
      <c r="AL70" s="28"/>
      <c r="AM70" s="28"/>
      <c r="AN70" s="3"/>
      <c r="AO70" s="3"/>
      <c r="AP70" s="3"/>
      <c r="AQ70" s="3"/>
      <c r="AR70" s="3" t="s">
        <v>49</v>
      </c>
      <c r="AS70" s="3"/>
      <c r="AT70" s="3"/>
      <c r="AU70" s="3"/>
      <c r="AV70" s="28" t="s">
        <v>25</v>
      </c>
      <c r="AW70" s="28" t="s">
        <v>25</v>
      </c>
      <c r="AX70" s="28" t="s">
        <v>25</v>
      </c>
      <c r="AY70" s="28" t="s">
        <v>25</v>
      </c>
      <c r="AZ70" s="28" t="s">
        <v>25</v>
      </c>
      <c r="BA70" s="28" t="s">
        <v>25</v>
      </c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 t="s">
        <v>25</v>
      </c>
      <c r="BM70" s="3" t="s">
        <v>25</v>
      </c>
      <c r="BN70" s="28" t="s">
        <v>25</v>
      </c>
      <c r="BO70" s="28" t="s">
        <v>25</v>
      </c>
      <c r="BP70" s="3"/>
      <c r="BQ70" s="3"/>
      <c r="BR70" s="4">
        <f t="shared" si="16"/>
        <v>3</v>
      </c>
      <c r="BS70" s="36">
        <f t="shared" ref="BS70" si="102">BR70+BR71+BR72*2</f>
        <v>26</v>
      </c>
      <c r="BT70" s="4">
        <f t="shared" si="17"/>
        <v>0</v>
      </c>
      <c r="BU70" s="36">
        <f t="shared" ref="BU70" si="103">BT70+BT71+BT72*2</f>
        <v>0</v>
      </c>
      <c r="BV70" s="34">
        <f>SUM(BU70,BS70)</f>
        <v>26</v>
      </c>
      <c r="BW70" s="1">
        <f t="shared" si="20"/>
        <v>0</v>
      </c>
      <c r="BX70" s="34">
        <f t="shared" ref="BX70" si="104">BW70+BW71+BW72*2</f>
        <v>3</v>
      </c>
      <c r="BY70" s="1">
        <f t="shared" si="18"/>
        <v>0</v>
      </c>
      <c r="BZ70" s="34">
        <f t="shared" ref="BZ70" si="105">BY70+BY71+BY72*2</f>
        <v>0</v>
      </c>
      <c r="CA70" s="34">
        <f>SUM(BZ70,BX70)</f>
        <v>3</v>
      </c>
    </row>
    <row r="71" spans="1:79" ht="16.5" thickTop="1" thickBot="1" x14ac:dyDescent="0.3">
      <c r="A71" s="13">
        <v>6</v>
      </c>
      <c r="B71" s="38"/>
      <c r="C71" s="2">
        <f>BV70</f>
        <v>26</v>
      </c>
      <c r="D71" s="2"/>
      <c r="E71" s="2"/>
      <c r="F71" s="2"/>
      <c r="G71" s="2"/>
      <c r="H71" s="2"/>
      <c r="I71" s="2"/>
      <c r="J71" s="2">
        <v>1</v>
      </c>
      <c r="K71" s="2"/>
      <c r="L71" s="2">
        <v>1</v>
      </c>
      <c r="M71" s="2"/>
      <c r="N71" s="2"/>
      <c r="O71" s="2"/>
      <c r="P71" s="2">
        <v>1</v>
      </c>
      <c r="Q71" s="2"/>
      <c r="R71" s="3" t="s">
        <v>25</v>
      </c>
      <c r="S71" s="3" t="s">
        <v>25</v>
      </c>
      <c r="T71" s="3" t="s">
        <v>25</v>
      </c>
      <c r="U71" s="3" t="s">
        <v>25</v>
      </c>
      <c r="V71" s="3" t="s">
        <v>25</v>
      </c>
      <c r="W71" s="3" t="s">
        <v>25</v>
      </c>
      <c r="X71" s="3" t="s">
        <v>25</v>
      </c>
      <c r="Y71" s="3" t="s">
        <v>25</v>
      </c>
      <c r="Z71" s="3" t="s">
        <v>25</v>
      </c>
      <c r="AA71" s="3" t="s">
        <v>25</v>
      </c>
      <c r="AB71" s="3" t="s">
        <v>25</v>
      </c>
      <c r="AC71" s="3" t="s">
        <v>25</v>
      </c>
      <c r="AD71" s="3" t="s">
        <v>25</v>
      </c>
      <c r="AE71" s="3" t="s">
        <v>25</v>
      </c>
      <c r="AF71" s="2"/>
      <c r="AG71" s="2"/>
      <c r="AH71" s="2">
        <v>1</v>
      </c>
      <c r="AI71" s="2"/>
      <c r="AJ71" s="2"/>
      <c r="AK71" s="2"/>
      <c r="AL71" s="26">
        <v>1</v>
      </c>
      <c r="AM71" s="26"/>
      <c r="AN71" s="2"/>
      <c r="AO71" s="2"/>
      <c r="AP71" s="2">
        <v>1</v>
      </c>
      <c r="AQ71" s="2"/>
      <c r="AR71" s="2"/>
      <c r="AS71" s="2"/>
      <c r="AT71" s="2"/>
      <c r="AU71" s="2"/>
      <c r="AV71" s="28" t="s">
        <v>25</v>
      </c>
      <c r="AW71" s="28" t="s">
        <v>25</v>
      </c>
      <c r="AX71" s="28" t="s">
        <v>25</v>
      </c>
      <c r="AY71" s="28" t="s">
        <v>25</v>
      </c>
      <c r="AZ71" s="28" t="s">
        <v>25</v>
      </c>
      <c r="BA71" s="28" t="s">
        <v>25</v>
      </c>
      <c r="BB71" s="2">
        <v>1</v>
      </c>
      <c r="BC71" s="2"/>
      <c r="BD71" s="2">
        <v>1</v>
      </c>
      <c r="BE71" s="2"/>
      <c r="BF71" s="2"/>
      <c r="BG71" s="2"/>
      <c r="BH71" s="2">
        <v>1</v>
      </c>
      <c r="BI71" s="2"/>
      <c r="BJ71" s="2"/>
      <c r="BK71" s="2"/>
      <c r="BL71" s="3" t="s">
        <v>25</v>
      </c>
      <c r="BM71" s="3" t="s">
        <v>25</v>
      </c>
      <c r="BN71" s="28" t="s">
        <v>25</v>
      </c>
      <c r="BO71" s="28" t="s">
        <v>25</v>
      </c>
      <c r="BP71" s="2"/>
      <c r="BQ71" s="2"/>
      <c r="BR71" s="4">
        <f t="shared" si="16"/>
        <v>9</v>
      </c>
      <c r="BS71" s="34"/>
      <c r="BT71" s="4">
        <f t="shared" si="17"/>
        <v>0</v>
      </c>
      <c r="BU71" s="34"/>
      <c r="BV71" s="34"/>
      <c r="BW71" s="1">
        <f t="shared" si="20"/>
        <v>1</v>
      </c>
      <c r="BX71" s="34"/>
      <c r="BY71" s="1">
        <f t="shared" si="18"/>
        <v>0</v>
      </c>
      <c r="BZ71" s="34"/>
      <c r="CA71" s="34"/>
    </row>
    <row r="72" spans="1:79" ht="16.5" thickTop="1" thickBot="1" x14ac:dyDescent="0.3">
      <c r="A72" s="14">
        <f t="shared" ref="A72:A81" si="106">BR72</f>
        <v>7</v>
      </c>
      <c r="B72" s="39"/>
      <c r="C72" s="23">
        <v>24</v>
      </c>
      <c r="D72" s="23"/>
      <c r="E72" s="23"/>
      <c r="F72" s="23">
        <v>1</v>
      </c>
      <c r="G72" s="23"/>
      <c r="H72" s="23"/>
      <c r="I72" s="23"/>
      <c r="J72" s="23"/>
      <c r="K72" s="23"/>
      <c r="L72" s="23">
        <v>1</v>
      </c>
      <c r="M72" s="23"/>
      <c r="N72" s="23"/>
      <c r="O72" s="23"/>
      <c r="P72" s="23">
        <v>1</v>
      </c>
      <c r="Q72" s="23"/>
      <c r="R72" s="3" t="s">
        <v>25</v>
      </c>
      <c r="S72" s="3" t="s">
        <v>25</v>
      </c>
      <c r="T72" s="3" t="s">
        <v>25</v>
      </c>
      <c r="U72" s="3" t="s">
        <v>25</v>
      </c>
      <c r="V72" s="3" t="s">
        <v>25</v>
      </c>
      <c r="W72" s="3" t="s">
        <v>25</v>
      </c>
      <c r="X72" s="3" t="s">
        <v>25</v>
      </c>
      <c r="Y72" s="3" t="s">
        <v>25</v>
      </c>
      <c r="Z72" s="3" t="s">
        <v>25</v>
      </c>
      <c r="AA72" s="3" t="s">
        <v>25</v>
      </c>
      <c r="AB72" s="3" t="s">
        <v>25</v>
      </c>
      <c r="AC72" s="3" t="s">
        <v>25</v>
      </c>
      <c r="AD72" s="3" t="s">
        <v>25</v>
      </c>
      <c r="AE72" s="3" t="s">
        <v>25</v>
      </c>
      <c r="AF72" s="23"/>
      <c r="AG72" s="23"/>
      <c r="AH72" s="23">
        <v>1</v>
      </c>
      <c r="AI72" s="23"/>
      <c r="AJ72" s="23"/>
      <c r="AK72" s="23"/>
      <c r="AL72" s="27">
        <v>1</v>
      </c>
      <c r="AM72" s="27"/>
      <c r="AN72" s="23"/>
      <c r="AO72" s="23"/>
      <c r="AP72" s="23">
        <v>1</v>
      </c>
      <c r="AQ72" s="23"/>
      <c r="AR72" s="23"/>
      <c r="AS72" s="23"/>
      <c r="AT72" s="23"/>
      <c r="AU72" s="23"/>
      <c r="AV72" s="28" t="s">
        <v>25</v>
      </c>
      <c r="AW72" s="28" t="s">
        <v>25</v>
      </c>
      <c r="AX72" s="28" t="s">
        <v>25</v>
      </c>
      <c r="AY72" s="28" t="s">
        <v>25</v>
      </c>
      <c r="AZ72" s="28" t="s">
        <v>25</v>
      </c>
      <c r="BA72" s="28" t="s">
        <v>25</v>
      </c>
      <c r="BB72" s="23"/>
      <c r="BC72" s="23"/>
      <c r="BD72" s="23"/>
      <c r="BE72" s="23"/>
      <c r="BF72" s="23"/>
      <c r="BG72" s="23"/>
      <c r="BH72" s="23">
        <v>1</v>
      </c>
      <c r="BI72" s="23"/>
      <c r="BJ72" s="23"/>
      <c r="BK72" s="23"/>
      <c r="BL72" s="3" t="s">
        <v>25</v>
      </c>
      <c r="BM72" s="3" t="s">
        <v>25</v>
      </c>
      <c r="BN72" s="28" t="s">
        <v>25</v>
      </c>
      <c r="BO72" s="28" t="s">
        <v>25</v>
      </c>
      <c r="BP72" s="23"/>
      <c r="BQ72" s="23"/>
      <c r="BR72" s="4">
        <f t="shared" ref="BR72:BR84" si="107">SUM(D72,H72,F72,J72,L72,N72,P72,R72,T72,V72,X72,Z72,AB72,AD72,AF72,AH72,AJ72,AL72,AN72,AP72,AR72,AT72,AV72,AX72,AZ72,BB72,BD72,BF72,BH72,BJ72,BL72,BN72)</f>
        <v>7</v>
      </c>
      <c r="BS72" s="35"/>
      <c r="BT72" s="4">
        <f t="shared" ref="BT72:BT84" si="108">SUM(BO72,BM72,BK72,BI72,BG72,BE72,BC72,BA72,AY72,AW72,AU72,AS72,AQ72,AO72,AM72,AK72,AI72,AG72,AE72,AC72,AA72,Y72,W72,U72,S72,Q72,O72,M72,K72,I72,G72)</f>
        <v>0</v>
      </c>
      <c r="BU72" s="35"/>
      <c r="BV72" s="35"/>
      <c r="BW72" s="1">
        <f t="shared" ref="BW72:BW84" si="109">SUM(AL72,AV72,AX72,AZ72,BN72)</f>
        <v>1</v>
      </c>
      <c r="BX72" s="35"/>
      <c r="BY72" s="1">
        <f t="shared" ref="BY72:BY84" si="110">SUM(BK72,BC72,AO72,AA72,Q72,M72)</f>
        <v>0</v>
      </c>
      <c r="BZ72" s="35"/>
      <c r="CA72" s="35"/>
    </row>
    <row r="73" spans="1:79" ht="16.5" thickTop="1" thickBot="1" x14ac:dyDescent="0.3">
      <c r="A73" s="13" t="s">
        <v>37</v>
      </c>
      <c r="B73" s="40" t="s">
        <v>71</v>
      </c>
      <c r="C73" s="3">
        <f t="shared" ref="C73:C84" si="111">CA73</f>
        <v>6</v>
      </c>
      <c r="D73" s="3"/>
      <c r="E73" s="3"/>
      <c r="F73" s="3" t="s">
        <v>25</v>
      </c>
      <c r="G73" s="3" t="s">
        <v>25</v>
      </c>
      <c r="H73" s="3" t="s">
        <v>25</v>
      </c>
      <c r="I73" s="3" t="s">
        <v>25</v>
      </c>
      <c r="J73" s="3" t="s">
        <v>25</v>
      </c>
      <c r="K73" s="3" t="s">
        <v>25</v>
      </c>
      <c r="L73" s="3" t="s">
        <v>25</v>
      </c>
      <c r="M73" s="3" t="s">
        <v>25</v>
      </c>
      <c r="N73" s="3" t="s">
        <v>25</v>
      </c>
      <c r="O73" s="3" t="s">
        <v>25</v>
      </c>
      <c r="P73" s="3" t="s">
        <v>25</v>
      </c>
      <c r="Q73" s="3" t="s">
        <v>25</v>
      </c>
      <c r="R73" s="3">
        <v>1</v>
      </c>
      <c r="S73" s="3"/>
      <c r="T73" s="3"/>
      <c r="U73" s="3"/>
      <c r="V73" s="3">
        <v>1</v>
      </c>
      <c r="W73" s="3"/>
      <c r="X73" s="3"/>
      <c r="Y73" s="3"/>
      <c r="Z73" s="3">
        <v>1</v>
      </c>
      <c r="AA73" s="3"/>
      <c r="AB73" s="3"/>
      <c r="AC73" s="3"/>
      <c r="AD73" s="3">
        <v>1</v>
      </c>
      <c r="AE73" s="3"/>
      <c r="AF73" s="3"/>
      <c r="AG73" s="3"/>
      <c r="AH73" s="3">
        <v>1</v>
      </c>
      <c r="AI73" s="3"/>
      <c r="AJ73" s="3"/>
      <c r="AK73" s="3"/>
      <c r="AL73" s="28"/>
      <c r="AM73" s="28"/>
      <c r="AN73" s="3">
        <v>1</v>
      </c>
      <c r="AO73" s="3" t="s">
        <v>40</v>
      </c>
      <c r="AP73" s="3"/>
      <c r="AQ73" s="3"/>
      <c r="AR73" s="3">
        <v>1</v>
      </c>
      <c r="AS73" s="3"/>
      <c r="AT73" s="3"/>
      <c r="AU73" s="3"/>
      <c r="AV73" s="28"/>
      <c r="AW73" s="28"/>
      <c r="AX73" s="28"/>
      <c r="AY73" s="28"/>
      <c r="AZ73" s="28">
        <v>1</v>
      </c>
      <c r="BA73" s="28"/>
      <c r="BB73" s="3">
        <v>1</v>
      </c>
      <c r="BC73" s="3"/>
      <c r="BD73" s="3">
        <v>1</v>
      </c>
      <c r="BE73" s="3"/>
      <c r="BF73" s="3"/>
      <c r="BG73" s="3"/>
      <c r="BH73" s="3" t="s">
        <v>49</v>
      </c>
      <c r="BI73" s="3"/>
      <c r="BJ73" s="3"/>
      <c r="BK73" s="3"/>
      <c r="BL73" s="3">
        <v>1</v>
      </c>
      <c r="BM73" s="3" t="s">
        <v>40</v>
      </c>
      <c r="BN73" s="28"/>
      <c r="BO73" s="28"/>
      <c r="BP73" s="3"/>
      <c r="BQ73" s="3"/>
      <c r="BR73" s="4">
        <f t="shared" si="107"/>
        <v>11</v>
      </c>
      <c r="BS73" s="36">
        <f t="shared" ref="BS73" si="112">BR73+BR74+BR75*2</f>
        <v>27</v>
      </c>
      <c r="BT73" s="4">
        <f t="shared" si="108"/>
        <v>0</v>
      </c>
      <c r="BU73" s="36">
        <f t="shared" ref="BU73" si="113">BT73+BT74+BT75*2</f>
        <v>0</v>
      </c>
      <c r="BV73" s="34">
        <f>SUM(BU73,BS73)</f>
        <v>27</v>
      </c>
      <c r="BW73" s="1">
        <f t="shared" si="109"/>
        <v>1</v>
      </c>
      <c r="BX73" s="34">
        <f t="shared" ref="BX73" si="114">BW73+BW74+BW75*2</f>
        <v>6</v>
      </c>
      <c r="BY73" s="1">
        <f t="shared" si="110"/>
        <v>0</v>
      </c>
      <c r="BZ73" s="34">
        <f t="shared" ref="BZ73" si="115">BY73+BY74+BY75*2</f>
        <v>0</v>
      </c>
      <c r="CA73" s="34">
        <f>SUM(BZ73,BX73)</f>
        <v>6</v>
      </c>
    </row>
    <row r="74" spans="1:79" ht="16.5" thickTop="1" thickBot="1" x14ac:dyDescent="0.3">
      <c r="A74" s="13">
        <v>6</v>
      </c>
      <c r="B74" s="41"/>
      <c r="C74" s="2">
        <f>BV73</f>
        <v>27</v>
      </c>
      <c r="D74" s="2"/>
      <c r="E74" s="2"/>
      <c r="F74" s="3" t="s">
        <v>25</v>
      </c>
      <c r="G74" s="3" t="s">
        <v>25</v>
      </c>
      <c r="H74" s="3" t="s">
        <v>25</v>
      </c>
      <c r="I74" s="3" t="s">
        <v>25</v>
      </c>
      <c r="J74" s="3" t="s">
        <v>25</v>
      </c>
      <c r="K74" s="3" t="s">
        <v>25</v>
      </c>
      <c r="L74" s="3" t="s">
        <v>25</v>
      </c>
      <c r="M74" s="3" t="s">
        <v>25</v>
      </c>
      <c r="N74" s="3" t="s">
        <v>25</v>
      </c>
      <c r="O74" s="3" t="s">
        <v>25</v>
      </c>
      <c r="P74" s="3" t="s">
        <v>25</v>
      </c>
      <c r="Q74" s="3" t="s">
        <v>25</v>
      </c>
      <c r="R74" s="2" t="s">
        <v>25</v>
      </c>
      <c r="S74" s="2" t="s">
        <v>25</v>
      </c>
      <c r="T74" s="2"/>
      <c r="U74" s="2"/>
      <c r="V74" s="2" t="s">
        <v>25</v>
      </c>
      <c r="W74" s="2" t="s">
        <v>25</v>
      </c>
      <c r="X74" s="2"/>
      <c r="Y74" s="2"/>
      <c r="Z74" s="2"/>
      <c r="AA74" s="2"/>
      <c r="AB74" s="2" t="s">
        <v>25</v>
      </c>
      <c r="AC74" s="2" t="s">
        <v>25</v>
      </c>
      <c r="AD74" s="2"/>
      <c r="AE74" s="2"/>
      <c r="AF74" s="2" t="s">
        <v>25</v>
      </c>
      <c r="AG74" s="2" t="s">
        <v>25</v>
      </c>
      <c r="AH74" s="2">
        <v>1</v>
      </c>
      <c r="AI74" s="2"/>
      <c r="AJ74" s="2" t="s">
        <v>25</v>
      </c>
      <c r="AK74" s="2" t="s">
        <v>25</v>
      </c>
      <c r="AL74" s="26"/>
      <c r="AM74" s="26"/>
      <c r="AN74" s="2"/>
      <c r="AO74" s="2"/>
      <c r="AP74" s="2" t="s">
        <v>25</v>
      </c>
      <c r="AQ74" s="2" t="s">
        <v>25</v>
      </c>
      <c r="AR74" s="2"/>
      <c r="AS74" s="2"/>
      <c r="AT74" s="2" t="s">
        <v>25</v>
      </c>
      <c r="AU74" s="2" t="s">
        <v>25</v>
      </c>
      <c r="AV74" s="26" t="s">
        <v>40</v>
      </c>
      <c r="AW74" s="26" t="s">
        <v>40</v>
      </c>
      <c r="AX74" s="26" t="s">
        <v>25</v>
      </c>
      <c r="AY74" s="26" t="s">
        <v>25</v>
      </c>
      <c r="AZ74" s="26">
        <v>1</v>
      </c>
      <c r="BA74" s="26"/>
      <c r="BB74" s="2"/>
      <c r="BC74" s="2"/>
      <c r="BD74" s="2" t="s">
        <v>25</v>
      </c>
      <c r="BE74" s="2" t="s">
        <v>25</v>
      </c>
      <c r="BF74" s="2"/>
      <c r="BG74" s="2"/>
      <c r="BH74" s="2" t="s">
        <v>25</v>
      </c>
      <c r="BI74" s="2" t="s">
        <v>25</v>
      </c>
      <c r="BJ74" s="2"/>
      <c r="BK74" s="2"/>
      <c r="BL74" s="2" t="s">
        <v>25</v>
      </c>
      <c r="BM74" s="2" t="s">
        <v>25</v>
      </c>
      <c r="BN74" s="26"/>
      <c r="BO74" s="26"/>
      <c r="BP74" s="2"/>
      <c r="BQ74" s="2"/>
      <c r="BR74" s="4">
        <f t="shared" si="107"/>
        <v>2</v>
      </c>
      <c r="BS74" s="34"/>
      <c r="BT74" s="4">
        <f t="shared" si="108"/>
        <v>0</v>
      </c>
      <c r="BU74" s="34"/>
      <c r="BV74" s="34"/>
      <c r="BW74" s="1">
        <f t="shared" si="109"/>
        <v>1</v>
      </c>
      <c r="BX74" s="34"/>
      <c r="BY74" s="1">
        <f t="shared" si="110"/>
        <v>0</v>
      </c>
      <c r="BZ74" s="34"/>
      <c r="CA74" s="34"/>
    </row>
    <row r="75" spans="1:79" ht="16.5" thickTop="1" thickBot="1" x14ac:dyDescent="0.3">
      <c r="A75" s="14">
        <f t="shared" si="106"/>
        <v>7</v>
      </c>
      <c r="B75" s="42"/>
      <c r="C75" s="23">
        <v>24</v>
      </c>
      <c r="D75" s="23"/>
      <c r="E75" s="23"/>
      <c r="F75" s="3" t="s">
        <v>25</v>
      </c>
      <c r="G75" s="3" t="s">
        <v>25</v>
      </c>
      <c r="H75" s="3" t="s">
        <v>25</v>
      </c>
      <c r="I75" s="3" t="s">
        <v>25</v>
      </c>
      <c r="J75" s="3" t="s">
        <v>25</v>
      </c>
      <c r="K75" s="3" t="s">
        <v>25</v>
      </c>
      <c r="L75" s="3" t="s">
        <v>25</v>
      </c>
      <c r="M75" s="3" t="s">
        <v>25</v>
      </c>
      <c r="N75" s="3" t="s">
        <v>25</v>
      </c>
      <c r="O75" s="3" t="s">
        <v>25</v>
      </c>
      <c r="P75" s="3" t="s">
        <v>25</v>
      </c>
      <c r="Q75" s="3" t="s">
        <v>25</v>
      </c>
      <c r="R75" s="23">
        <v>1</v>
      </c>
      <c r="S75" s="23"/>
      <c r="T75" s="23"/>
      <c r="U75" s="23"/>
      <c r="V75" s="23">
        <v>1</v>
      </c>
      <c r="W75" s="23"/>
      <c r="X75" s="23"/>
      <c r="Y75" s="23"/>
      <c r="Z75" s="23">
        <v>1</v>
      </c>
      <c r="AA75" s="23"/>
      <c r="AB75" s="23"/>
      <c r="AC75" s="23"/>
      <c r="AD75" s="23">
        <v>1</v>
      </c>
      <c r="AE75" s="23"/>
      <c r="AF75" s="23"/>
      <c r="AG75" s="23"/>
      <c r="AH75" s="23"/>
      <c r="AI75" s="23"/>
      <c r="AJ75" s="23"/>
      <c r="AK75" s="23"/>
      <c r="AL75" s="27"/>
      <c r="AM75" s="27"/>
      <c r="AN75" s="23">
        <v>1</v>
      </c>
      <c r="AO75" s="23" t="s">
        <v>40</v>
      </c>
      <c r="AP75" s="23"/>
      <c r="AQ75" s="23"/>
      <c r="AR75" s="23"/>
      <c r="AS75" s="23"/>
      <c r="AT75" s="23"/>
      <c r="AU75" s="23"/>
      <c r="AV75" s="27">
        <v>1</v>
      </c>
      <c r="AW75" s="27" t="s">
        <v>40</v>
      </c>
      <c r="AX75" s="27"/>
      <c r="AY75" s="27"/>
      <c r="AZ75" s="27"/>
      <c r="BA75" s="27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 t="s">
        <v>40</v>
      </c>
      <c r="BM75" s="23" t="s">
        <v>40</v>
      </c>
      <c r="BN75" s="27">
        <v>1</v>
      </c>
      <c r="BO75" s="27"/>
      <c r="BP75" s="23"/>
      <c r="BQ75" s="23"/>
      <c r="BR75" s="4">
        <f t="shared" si="107"/>
        <v>7</v>
      </c>
      <c r="BS75" s="35"/>
      <c r="BT75" s="4">
        <f t="shared" si="108"/>
        <v>0</v>
      </c>
      <c r="BU75" s="35"/>
      <c r="BV75" s="35"/>
      <c r="BW75" s="1">
        <f t="shared" si="109"/>
        <v>2</v>
      </c>
      <c r="BX75" s="35"/>
      <c r="BY75" s="1">
        <f t="shared" si="110"/>
        <v>0</v>
      </c>
      <c r="BZ75" s="35"/>
      <c r="CA75" s="35"/>
    </row>
    <row r="76" spans="1:79" ht="16.5" thickTop="1" thickBot="1" x14ac:dyDescent="0.3">
      <c r="A76" s="13" t="s">
        <v>34</v>
      </c>
      <c r="B76" s="45" t="s">
        <v>72</v>
      </c>
      <c r="C76" s="3">
        <f t="shared" si="111"/>
        <v>3</v>
      </c>
      <c r="D76" s="3"/>
      <c r="E76" s="3"/>
      <c r="F76" s="3" t="s">
        <v>25</v>
      </c>
      <c r="G76" s="3" t="s">
        <v>25</v>
      </c>
      <c r="H76" s="3" t="s">
        <v>25</v>
      </c>
      <c r="I76" s="3" t="s">
        <v>25</v>
      </c>
      <c r="J76" s="3" t="s">
        <v>25</v>
      </c>
      <c r="K76" s="3" t="s">
        <v>25</v>
      </c>
      <c r="L76" s="3" t="s">
        <v>25</v>
      </c>
      <c r="M76" s="3" t="s">
        <v>25</v>
      </c>
      <c r="N76" s="3" t="s">
        <v>25</v>
      </c>
      <c r="O76" s="3" t="s">
        <v>25</v>
      </c>
      <c r="P76" s="3" t="s">
        <v>25</v>
      </c>
      <c r="Q76" s="3" t="s">
        <v>25</v>
      </c>
      <c r="R76" s="3"/>
      <c r="S76" s="3"/>
      <c r="T76" s="3"/>
      <c r="U76" s="3"/>
      <c r="V76" s="3"/>
      <c r="W76" s="3"/>
      <c r="X76" s="3"/>
      <c r="Y76" s="3"/>
      <c r="Z76" s="3">
        <v>1</v>
      </c>
      <c r="AA76" s="3"/>
      <c r="AB76" s="3">
        <v>1</v>
      </c>
      <c r="AC76" s="3"/>
      <c r="AD76" s="3">
        <v>1</v>
      </c>
      <c r="AE76" s="3"/>
      <c r="AF76" s="3"/>
      <c r="AG76" s="3"/>
      <c r="AH76" s="3">
        <v>1</v>
      </c>
      <c r="AI76" s="3"/>
      <c r="AJ76" s="3">
        <v>1</v>
      </c>
      <c r="AK76" s="3"/>
      <c r="AL76" s="28"/>
      <c r="AM76" s="28"/>
      <c r="AN76" s="3">
        <v>1</v>
      </c>
      <c r="AO76" s="3" t="s">
        <v>40</v>
      </c>
      <c r="AP76" s="3"/>
      <c r="AQ76" s="3"/>
      <c r="AR76" s="3"/>
      <c r="AS76" s="3"/>
      <c r="AT76" s="3"/>
      <c r="AU76" s="3"/>
      <c r="AV76" s="28"/>
      <c r="AW76" s="28"/>
      <c r="AX76" s="28" t="s">
        <v>49</v>
      </c>
      <c r="AY76" s="28"/>
      <c r="AZ76" s="28"/>
      <c r="BA76" s="28"/>
      <c r="BB76" s="3">
        <v>1</v>
      </c>
      <c r="BC76" s="3"/>
      <c r="BD76" s="3">
        <v>1</v>
      </c>
      <c r="BE76" s="3"/>
      <c r="BF76" s="3"/>
      <c r="BG76" s="3"/>
      <c r="BH76" s="3"/>
      <c r="BI76" s="3"/>
      <c r="BJ76" s="3"/>
      <c r="BK76" s="3"/>
      <c r="BL76" s="3" t="s">
        <v>40</v>
      </c>
      <c r="BM76" s="3" t="s">
        <v>40</v>
      </c>
      <c r="BN76" s="28"/>
      <c r="BO76" s="28"/>
      <c r="BP76" s="3"/>
      <c r="BQ76" s="3"/>
      <c r="BR76" s="4">
        <f t="shared" si="107"/>
        <v>8</v>
      </c>
      <c r="BS76" s="36">
        <f t="shared" ref="BS76" si="116">BR76+BR77+BR78*2</f>
        <v>27</v>
      </c>
      <c r="BT76" s="4">
        <f t="shared" si="108"/>
        <v>0</v>
      </c>
      <c r="BU76" s="36">
        <f t="shared" ref="BU76" si="117">BT76+BT77+BT78*2</f>
        <v>0</v>
      </c>
      <c r="BV76" s="34">
        <f>SUM(BU76,BS76)</f>
        <v>27</v>
      </c>
      <c r="BW76" s="1">
        <f t="shared" si="109"/>
        <v>0</v>
      </c>
      <c r="BX76" s="34">
        <f t="shared" ref="BX76" si="118">BW76+BW77+BW78*2</f>
        <v>3</v>
      </c>
      <c r="BY76" s="1">
        <f t="shared" si="110"/>
        <v>0</v>
      </c>
      <c r="BZ76" s="34">
        <f t="shared" ref="BZ76" si="119">BY76+BY77+BY78*2</f>
        <v>0</v>
      </c>
      <c r="CA76" s="34">
        <f>SUM(BZ76,BX76)</f>
        <v>3</v>
      </c>
    </row>
    <row r="77" spans="1:79" ht="16.5" thickTop="1" thickBot="1" x14ac:dyDescent="0.3">
      <c r="A77" s="13">
        <v>6</v>
      </c>
      <c r="B77" s="46"/>
      <c r="C77" s="2">
        <f>BV76</f>
        <v>27</v>
      </c>
      <c r="D77" s="2"/>
      <c r="E77" s="2"/>
      <c r="F77" s="3" t="s">
        <v>25</v>
      </c>
      <c r="G77" s="3" t="s">
        <v>25</v>
      </c>
      <c r="H77" s="3" t="s">
        <v>25</v>
      </c>
      <c r="I77" s="3" t="s">
        <v>25</v>
      </c>
      <c r="J77" s="3" t="s">
        <v>25</v>
      </c>
      <c r="K77" s="3" t="s">
        <v>25</v>
      </c>
      <c r="L77" s="3" t="s">
        <v>25</v>
      </c>
      <c r="M77" s="3" t="s">
        <v>25</v>
      </c>
      <c r="N77" s="3" t="s">
        <v>25</v>
      </c>
      <c r="O77" s="3" t="s">
        <v>25</v>
      </c>
      <c r="P77" s="3" t="s">
        <v>25</v>
      </c>
      <c r="Q77" s="3" t="s">
        <v>25</v>
      </c>
      <c r="R77" s="2"/>
      <c r="S77" s="2"/>
      <c r="T77" s="2"/>
      <c r="U77" s="2"/>
      <c r="V77" s="2">
        <v>1</v>
      </c>
      <c r="W77" s="2"/>
      <c r="X77" s="2"/>
      <c r="Y77" s="2"/>
      <c r="Z77" s="2">
        <v>1</v>
      </c>
      <c r="AA77" s="2"/>
      <c r="AB77" s="2">
        <v>1</v>
      </c>
      <c r="AC77" s="2"/>
      <c r="AD77" s="2"/>
      <c r="AE77" s="2"/>
      <c r="AF77" s="2"/>
      <c r="AG77" s="2"/>
      <c r="AH77" s="2"/>
      <c r="AI77" s="2"/>
      <c r="AJ77" s="2">
        <v>1</v>
      </c>
      <c r="AK77" s="2"/>
      <c r="AL77" s="26"/>
      <c r="AM77" s="26"/>
      <c r="AN77" s="2"/>
      <c r="AO77" s="2"/>
      <c r="AP77" s="2"/>
      <c r="AQ77" s="2"/>
      <c r="AR77" s="2"/>
      <c r="AS77" s="2"/>
      <c r="AT77" s="2"/>
      <c r="AU77" s="2"/>
      <c r="AV77" s="26">
        <v>1</v>
      </c>
      <c r="AW77" s="26" t="s">
        <v>40</v>
      </c>
      <c r="AX77" s="26"/>
      <c r="AY77" s="26"/>
      <c r="AZ77" s="26"/>
      <c r="BA77" s="26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6"/>
      <c r="BO77" s="26"/>
      <c r="BP77" s="2"/>
      <c r="BQ77" s="2"/>
      <c r="BR77" s="4">
        <f t="shared" si="107"/>
        <v>5</v>
      </c>
      <c r="BS77" s="34"/>
      <c r="BT77" s="4">
        <f t="shared" si="108"/>
        <v>0</v>
      </c>
      <c r="BU77" s="34"/>
      <c r="BV77" s="34"/>
      <c r="BW77" s="1">
        <f t="shared" si="109"/>
        <v>1</v>
      </c>
      <c r="BX77" s="34"/>
      <c r="BY77" s="1">
        <f t="shared" si="110"/>
        <v>0</v>
      </c>
      <c r="BZ77" s="34"/>
      <c r="CA77" s="34"/>
    </row>
    <row r="78" spans="1:79" ht="16.5" thickTop="1" thickBot="1" x14ac:dyDescent="0.3">
      <c r="A78" s="14">
        <f t="shared" si="106"/>
        <v>7</v>
      </c>
      <c r="B78" s="47"/>
      <c r="C78" s="23">
        <v>24</v>
      </c>
      <c r="D78" s="23"/>
      <c r="E78" s="23"/>
      <c r="F78" s="3" t="s">
        <v>25</v>
      </c>
      <c r="G78" s="3" t="s">
        <v>25</v>
      </c>
      <c r="H78" s="3" t="s">
        <v>25</v>
      </c>
      <c r="I78" s="3" t="s">
        <v>25</v>
      </c>
      <c r="J78" s="3" t="s">
        <v>25</v>
      </c>
      <c r="K78" s="3" t="s">
        <v>25</v>
      </c>
      <c r="L78" s="3" t="s">
        <v>25</v>
      </c>
      <c r="M78" s="3" t="s">
        <v>25</v>
      </c>
      <c r="N78" s="3" t="s">
        <v>25</v>
      </c>
      <c r="O78" s="3" t="s">
        <v>25</v>
      </c>
      <c r="P78" s="3" t="s">
        <v>25</v>
      </c>
      <c r="Q78" s="3" t="s">
        <v>25</v>
      </c>
      <c r="R78" s="23">
        <v>1</v>
      </c>
      <c r="S78" s="23"/>
      <c r="T78" s="23"/>
      <c r="U78" s="23"/>
      <c r="V78" s="23">
        <v>1</v>
      </c>
      <c r="W78" s="23"/>
      <c r="X78" s="23"/>
      <c r="Y78" s="23"/>
      <c r="Z78" s="23"/>
      <c r="AA78" s="23"/>
      <c r="AB78" s="23"/>
      <c r="AC78" s="23"/>
      <c r="AD78" s="23">
        <v>1</v>
      </c>
      <c r="AE78" s="23"/>
      <c r="AF78" s="23"/>
      <c r="AG78" s="23"/>
      <c r="AH78" s="23"/>
      <c r="AI78" s="23"/>
      <c r="AJ78" s="23"/>
      <c r="AK78" s="23"/>
      <c r="AL78" s="27"/>
      <c r="AM78" s="27"/>
      <c r="AN78" s="23">
        <v>1</v>
      </c>
      <c r="AO78" s="23" t="s">
        <v>40</v>
      </c>
      <c r="AP78" s="23"/>
      <c r="AQ78" s="23"/>
      <c r="AR78" s="23">
        <v>1</v>
      </c>
      <c r="AS78" s="23"/>
      <c r="AT78" s="23"/>
      <c r="AU78" s="23"/>
      <c r="AV78" s="27">
        <v>1</v>
      </c>
      <c r="AW78" s="27" t="s">
        <v>40</v>
      </c>
      <c r="AX78" s="27"/>
      <c r="AY78" s="27"/>
      <c r="AZ78" s="27"/>
      <c r="BA78" s="27"/>
      <c r="BB78" s="23"/>
      <c r="BC78" s="23"/>
      <c r="BD78" s="23">
        <v>1</v>
      </c>
      <c r="BE78" s="23"/>
      <c r="BF78" s="23"/>
      <c r="BG78" s="23"/>
      <c r="BH78" s="23"/>
      <c r="BI78" s="23"/>
      <c r="BJ78" s="23"/>
      <c r="BK78" s="23"/>
      <c r="BL78" s="23" t="s">
        <v>40</v>
      </c>
      <c r="BM78" s="23" t="s">
        <v>40</v>
      </c>
      <c r="BN78" s="27"/>
      <c r="BO78" s="27"/>
      <c r="BP78" s="23"/>
      <c r="BQ78" s="23"/>
      <c r="BR78" s="4">
        <f t="shared" si="107"/>
        <v>7</v>
      </c>
      <c r="BS78" s="35"/>
      <c r="BT78" s="4">
        <f t="shared" si="108"/>
        <v>0</v>
      </c>
      <c r="BU78" s="35"/>
      <c r="BV78" s="35"/>
      <c r="BW78" s="1">
        <f t="shared" si="109"/>
        <v>1</v>
      </c>
      <c r="BX78" s="35"/>
      <c r="BY78" s="1">
        <f t="shared" si="110"/>
        <v>0</v>
      </c>
      <c r="BZ78" s="35"/>
      <c r="CA78" s="35"/>
    </row>
    <row r="79" spans="1:79" ht="16.5" thickTop="1" thickBot="1" x14ac:dyDescent="0.3">
      <c r="A79" s="13" t="s">
        <v>44</v>
      </c>
      <c r="B79" s="45"/>
      <c r="C79" s="5">
        <f t="shared" si="111"/>
        <v>0</v>
      </c>
      <c r="D79" s="8"/>
      <c r="E79" s="8"/>
      <c r="F79" s="8" t="s">
        <v>25</v>
      </c>
      <c r="G79" s="8" t="s">
        <v>25</v>
      </c>
      <c r="H79" s="8" t="s">
        <v>25</v>
      </c>
      <c r="I79" s="8" t="s">
        <v>25</v>
      </c>
      <c r="J79" s="8" t="s">
        <v>25</v>
      </c>
      <c r="K79" s="8" t="s">
        <v>25</v>
      </c>
      <c r="L79" s="8" t="s">
        <v>25</v>
      </c>
      <c r="M79" s="8" t="s">
        <v>25</v>
      </c>
      <c r="N79" s="8" t="s">
        <v>25</v>
      </c>
      <c r="O79" s="8" t="s">
        <v>25</v>
      </c>
      <c r="P79" s="8" t="s">
        <v>25</v>
      </c>
      <c r="Q79" s="8" t="s">
        <v>25</v>
      </c>
      <c r="R79" s="8" t="s">
        <v>25</v>
      </c>
      <c r="S79" s="8" t="s">
        <v>25</v>
      </c>
      <c r="T79" s="8" t="s">
        <v>25</v>
      </c>
      <c r="U79" s="8" t="s">
        <v>25</v>
      </c>
      <c r="V79" s="8" t="s">
        <v>25</v>
      </c>
      <c r="W79" s="8" t="s">
        <v>25</v>
      </c>
      <c r="X79" s="8" t="s">
        <v>25</v>
      </c>
      <c r="Y79" s="8" t="s">
        <v>25</v>
      </c>
      <c r="Z79" s="8" t="s">
        <v>25</v>
      </c>
      <c r="AA79" s="8" t="s">
        <v>25</v>
      </c>
      <c r="AB79" s="8" t="s">
        <v>25</v>
      </c>
      <c r="AC79" s="8" t="s">
        <v>25</v>
      </c>
      <c r="AD79" s="8" t="s">
        <v>25</v>
      </c>
      <c r="AE79" s="8" t="s">
        <v>25</v>
      </c>
      <c r="AF79" s="8" t="s">
        <v>25</v>
      </c>
      <c r="AG79" s="8" t="s">
        <v>25</v>
      </c>
      <c r="AH79" s="8" t="s">
        <v>25</v>
      </c>
      <c r="AI79" s="8" t="s">
        <v>25</v>
      </c>
      <c r="AJ79" s="8" t="s">
        <v>25</v>
      </c>
      <c r="AK79" s="8" t="s">
        <v>25</v>
      </c>
      <c r="AL79" s="28" t="s">
        <v>25</v>
      </c>
      <c r="AM79" s="28" t="s">
        <v>25</v>
      </c>
      <c r="AN79" s="8" t="s">
        <v>25</v>
      </c>
      <c r="AO79" s="8" t="s">
        <v>25</v>
      </c>
      <c r="AP79" s="8" t="s">
        <v>25</v>
      </c>
      <c r="AQ79" s="8" t="s">
        <v>25</v>
      </c>
      <c r="AR79" s="8" t="s">
        <v>25</v>
      </c>
      <c r="AS79" s="8" t="s">
        <v>25</v>
      </c>
      <c r="AT79" s="8" t="s">
        <v>25</v>
      </c>
      <c r="AU79" s="8" t="s">
        <v>25</v>
      </c>
      <c r="AV79" s="28" t="s">
        <v>25</v>
      </c>
      <c r="AW79" s="28" t="s">
        <v>25</v>
      </c>
      <c r="AX79" s="28" t="s">
        <v>25</v>
      </c>
      <c r="AY79" s="28" t="s">
        <v>25</v>
      </c>
      <c r="AZ79" s="28" t="s">
        <v>25</v>
      </c>
      <c r="BA79" s="28" t="s">
        <v>25</v>
      </c>
      <c r="BB79" s="8" t="s">
        <v>25</v>
      </c>
      <c r="BC79" s="8" t="s">
        <v>25</v>
      </c>
      <c r="BD79" s="8" t="s">
        <v>25</v>
      </c>
      <c r="BE79" s="8" t="s">
        <v>25</v>
      </c>
      <c r="BF79" s="8" t="s">
        <v>25</v>
      </c>
      <c r="BG79" s="8" t="s">
        <v>25</v>
      </c>
      <c r="BH79" s="8" t="s">
        <v>25</v>
      </c>
      <c r="BI79" s="8" t="s">
        <v>25</v>
      </c>
      <c r="BJ79" s="8" t="s">
        <v>25</v>
      </c>
      <c r="BK79" s="8" t="s">
        <v>25</v>
      </c>
      <c r="BL79" s="8" t="s">
        <v>25</v>
      </c>
      <c r="BM79" s="8" t="s">
        <v>25</v>
      </c>
      <c r="BN79" s="28" t="s">
        <v>25</v>
      </c>
      <c r="BO79" s="28" t="s">
        <v>25</v>
      </c>
      <c r="BP79" s="8" t="s">
        <v>25</v>
      </c>
      <c r="BQ79" s="8" t="s">
        <v>25</v>
      </c>
      <c r="BR79" s="4">
        <f t="shared" si="107"/>
        <v>0</v>
      </c>
      <c r="BS79" s="36">
        <f t="shared" ref="BS79" si="120">BR79+BR80+BR81*2</f>
        <v>0</v>
      </c>
      <c r="BT79" s="4">
        <f t="shared" si="108"/>
        <v>0</v>
      </c>
      <c r="BU79" s="36">
        <f t="shared" ref="BU79" si="121">BT79+BT80+BT81*2</f>
        <v>0</v>
      </c>
      <c r="BV79" s="34">
        <f>SUM(BU79,BS79)</f>
        <v>0</v>
      </c>
      <c r="BW79" s="1">
        <f t="shared" si="109"/>
        <v>0</v>
      </c>
      <c r="BX79" s="34">
        <f t="shared" ref="BX79" si="122">BW79+BW80+BW81*2</f>
        <v>0</v>
      </c>
      <c r="BY79" s="1">
        <f t="shared" si="110"/>
        <v>0</v>
      </c>
      <c r="BZ79" s="34">
        <f t="shared" ref="BZ79" si="123">BY79+BY80+BY81*2</f>
        <v>0</v>
      </c>
      <c r="CA79" s="34">
        <f>SUM(BZ79,BX79)</f>
        <v>0</v>
      </c>
    </row>
    <row r="80" spans="1:79" ht="16.5" thickTop="1" thickBot="1" x14ac:dyDescent="0.3">
      <c r="A80" s="13">
        <f>BU79</f>
        <v>0</v>
      </c>
      <c r="B80" s="46"/>
      <c r="C80" s="5">
        <f t="shared" si="111"/>
        <v>0</v>
      </c>
      <c r="D80" s="6"/>
      <c r="E80" s="6"/>
      <c r="F80" s="8" t="s">
        <v>25</v>
      </c>
      <c r="G80" s="8" t="s">
        <v>25</v>
      </c>
      <c r="H80" s="8" t="s">
        <v>25</v>
      </c>
      <c r="I80" s="8" t="s">
        <v>25</v>
      </c>
      <c r="J80" s="8" t="s">
        <v>25</v>
      </c>
      <c r="K80" s="8" t="s">
        <v>25</v>
      </c>
      <c r="L80" s="8" t="s">
        <v>25</v>
      </c>
      <c r="M80" s="8" t="s">
        <v>25</v>
      </c>
      <c r="N80" s="8" t="s">
        <v>25</v>
      </c>
      <c r="O80" s="8" t="s">
        <v>25</v>
      </c>
      <c r="P80" s="8" t="s">
        <v>25</v>
      </c>
      <c r="Q80" s="8" t="s">
        <v>25</v>
      </c>
      <c r="R80" s="8" t="s">
        <v>25</v>
      </c>
      <c r="S80" s="8" t="s">
        <v>25</v>
      </c>
      <c r="T80" s="8" t="s">
        <v>25</v>
      </c>
      <c r="U80" s="8" t="s">
        <v>25</v>
      </c>
      <c r="V80" s="8" t="s">
        <v>25</v>
      </c>
      <c r="W80" s="8" t="s">
        <v>25</v>
      </c>
      <c r="X80" s="8" t="s">
        <v>25</v>
      </c>
      <c r="Y80" s="8" t="s">
        <v>25</v>
      </c>
      <c r="Z80" s="8" t="s">
        <v>25</v>
      </c>
      <c r="AA80" s="8" t="s">
        <v>25</v>
      </c>
      <c r="AB80" s="8" t="s">
        <v>25</v>
      </c>
      <c r="AC80" s="8" t="s">
        <v>25</v>
      </c>
      <c r="AD80" s="8" t="s">
        <v>25</v>
      </c>
      <c r="AE80" s="8" t="s">
        <v>25</v>
      </c>
      <c r="AF80" s="8" t="s">
        <v>25</v>
      </c>
      <c r="AG80" s="8" t="s">
        <v>25</v>
      </c>
      <c r="AH80" s="8" t="s">
        <v>25</v>
      </c>
      <c r="AI80" s="8" t="s">
        <v>25</v>
      </c>
      <c r="AJ80" s="8" t="s">
        <v>25</v>
      </c>
      <c r="AK80" s="8" t="s">
        <v>25</v>
      </c>
      <c r="AL80" s="28" t="s">
        <v>25</v>
      </c>
      <c r="AM80" s="28" t="s">
        <v>25</v>
      </c>
      <c r="AN80" s="8" t="s">
        <v>25</v>
      </c>
      <c r="AO80" s="8" t="s">
        <v>25</v>
      </c>
      <c r="AP80" s="8" t="s">
        <v>25</v>
      </c>
      <c r="AQ80" s="8" t="s">
        <v>25</v>
      </c>
      <c r="AR80" s="8" t="s">
        <v>25</v>
      </c>
      <c r="AS80" s="8" t="s">
        <v>25</v>
      </c>
      <c r="AT80" s="8" t="s">
        <v>25</v>
      </c>
      <c r="AU80" s="8" t="s">
        <v>25</v>
      </c>
      <c r="AV80" s="28" t="s">
        <v>25</v>
      </c>
      <c r="AW80" s="28" t="s">
        <v>25</v>
      </c>
      <c r="AX80" s="28" t="s">
        <v>25</v>
      </c>
      <c r="AY80" s="28" t="s">
        <v>25</v>
      </c>
      <c r="AZ80" s="28" t="s">
        <v>25</v>
      </c>
      <c r="BA80" s="28" t="s">
        <v>25</v>
      </c>
      <c r="BB80" s="8" t="s">
        <v>25</v>
      </c>
      <c r="BC80" s="8" t="s">
        <v>25</v>
      </c>
      <c r="BD80" s="8" t="s">
        <v>25</v>
      </c>
      <c r="BE80" s="8" t="s">
        <v>25</v>
      </c>
      <c r="BF80" s="8" t="s">
        <v>25</v>
      </c>
      <c r="BG80" s="8" t="s">
        <v>25</v>
      </c>
      <c r="BH80" s="8" t="s">
        <v>25</v>
      </c>
      <c r="BI80" s="8" t="s">
        <v>25</v>
      </c>
      <c r="BJ80" s="8" t="s">
        <v>25</v>
      </c>
      <c r="BK80" s="8" t="s">
        <v>25</v>
      </c>
      <c r="BL80" s="8" t="s">
        <v>25</v>
      </c>
      <c r="BM80" s="8" t="s">
        <v>25</v>
      </c>
      <c r="BN80" s="28" t="s">
        <v>25</v>
      </c>
      <c r="BO80" s="28" t="s">
        <v>25</v>
      </c>
      <c r="BP80" s="8" t="s">
        <v>25</v>
      </c>
      <c r="BQ80" s="8" t="s">
        <v>25</v>
      </c>
      <c r="BR80" s="4">
        <f t="shared" si="107"/>
        <v>0</v>
      </c>
      <c r="BS80" s="34"/>
      <c r="BT80" s="4">
        <f t="shared" si="108"/>
        <v>0</v>
      </c>
      <c r="BU80" s="34"/>
      <c r="BV80" s="34"/>
      <c r="BW80" s="1">
        <f t="shared" si="109"/>
        <v>0</v>
      </c>
      <c r="BX80" s="34"/>
      <c r="BY80" s="1">
        <f t="shared" si="110"/>
        <v>0</v>
      </c>
      <c r="BZ80" s="34"/>
      <c r="CA80" s="34"/>
    </row>
    <row r="81" spans="1:79" ht="16.5" thickTop="1" thickBot="1" x14ac:dyDescent="0.3">
      <c r="A81" s="14">
        <f t="shared" si="106"/>
        <v>0</v>
      </c>
      <c r="B81" s="47"/>
      <c r="C81" s="5">
        <v>0</v>
      </c>
      <c r="D81" s="7"/>
      <c r="E81" s="7"/>
      <c r="F81" s="8" t="s">
        <v>25</v>
      </c>
      <c r="G81" s="8" t="s">
        <v>25</v>
      </c>
      <c r="H81" s="8" t="s">
        <v>25</v>
      </c>
      <c r="I81" s="8" t="s">
        <v>25</v>
      </c>
      <c r="J81" s="8" t="s">
        <v>25</v>
      </c>
      <c r="K81" s="8" t="s">
        <v>25</v>
      </c>
      <c r="L81" s="8" t="s">
        <v>25</v>
      </c>
      <c r="M81" s="8" t="s">
        <v>25</v>
      </c>
      <c r="N81" s="8" t="s">
        <v>25</v>
      </c>
      <c r="O81" s="8" t="s">
        <v>25</v>
      </c>
      <c r="P81" s="8" t="s">
        <v>25</v>
      </c>
      <c r="Q81" s="8" t="s">
        <v>25</v>
      </c>
      <c r="R81" s="8" t="s">
        <v>25</v>
      </c>
      <c r="S81" s="8" t="s">
        <v>25</v>
      </c>
      <c r="T81" s="8" t="s">
        <v>25</v>
      </c>
      <c r="U81" s="8" t="s">
        <v>25</v>
      </c>
      <c r="V81" s="8" t="s">
        <v>25</v>
      </c>
      <c r="W81" s="8" t="s">
        <v>25</v>
      </c>
      <c r="X81" s="8" t="s">
        <v>25</v>
      </c>
      <c r="Y81" s="8" t="s">
        <v>25</v>
      </c>
      <c r="Z81" s="8" t="s">
        <v>25</v>
      </c>
      <c r="AA81" s="8" t="s">
        <v>25</v>
      </c>
      <c r="AB81" s="8" t="s">
        <v>25</v>
      </c>
      <c r="AC81" s="8" t="s">
        <v>25</v>
      </c>
      <c r="AD81" s="8" t="s">
        <v>25</v>
      </c>
      <c r="AE81" s="8" t="s">
        <v>25</v>
      </c>
      <c r="AF81" s="8" t="s">
        <v>25</v>
      </c>
      <c r="AG81" s="8" t="s">
        <v>25</v>
      </c>
      <c r="AH81" s="8" t="s">
        <v>25</v>
      </c>
      <c r="AI81" s="8" t="s">
        <v>25</v>
      </c>
      <c r="AJ81" s="8" t="s">
        <v>25</v>
      </c>
      <c r="AK81" s="8" t="s">
        <v>25</v>
      </c>
      <c r="AL81" s="28" t="s">
        <v>25</v>
      </c>
      <c r="AM81" s="28" t="s">
        <v>25</v>
      </c>
      <c r="AN81" s="8" t="s">
        <v>25</v>
      </c>
      <c r="AO81" s="8" t="s">
        <v>25</v>
      </c>
      <c r="AP81" s="8" t="s">
        <v>25</v>
      </c>
      <c r="AQ81" s="8" t="s">
        <v>25</v>
      </c>
      <c r="AR81" s="8" t="s">
        <v>25</v>
      </c>
      <c r="AS81" s="8" t="s">
        <v>25</v>
      </c>
      <c r="AT81" s="8" t="s">
        <v>25</v>
      </c>
      <c r="AU81" s="8" t="s">
        <v>25</v>
      </c>
      <c r="AV81" s="28" t="s">
        <v>25</v>
      </c>
      <c r="AW81" s="28" t="s">
        <v>25</v>
      </c>
      <c r="AX81" s="28" t="s">
        <v>25</v>
      </c>
      <c r="AY81" s="28" t="s">
        <v>25</v>
      </c>
      <c r="AZ81" s="28" t="s">
        <v>25</v>
      </c>
      <c r="BA81" s="28" t="s">
        <v>25</v>
      </c>
      <c r="BB81" s="8" t="s">
        <v>25</v>
      </c>
      <c r="BC81" s="8" t="s">
        <v>25</v>
      </c>
      <c r="BD81" s="8" t="s">
        <v>25</v>
      </c>
      <c r="BE81" s="8" t="s">
        <v>25</v>
      </c>
      <c r="BF81" s="8" t="s">
        <v>25</v>
      </c>
      <c r="BG81" s="8" t="s">
        <v>25</v>
      </c>
      <c r="BH81" s="8" t="s">
        <v>25</v>
      </c>
      <c r="BI81" s="8" t="s">
        <v>25</v>
      </c>
      <c r="BJ81" s="8" t="s">
        <v>25</v>
      </c>
      <c r="BK81" s="8" t="s">
        <v>25</v>
      </c>
      <c r="BL81" s="8" t="s">
        <v>25</v>
      </c>
      <c r="BM81" s="8" t="s">
        <v>25</v>
      </c>
      <c r="BN81" s="28" t="s">
        <v>25</v>
      </c>
      <c r="BO81" s="28" t="s">
        <v>25</v>
      </c>
      <c r="BP81" s="8" t="s">
        <v>25</v>
      </c>
      <c r="BQ81" s="8" t="s">
        <v>25</v>
      </c>
      <c r="BR81" s="4">
        <f t="shared" si="107"/>
        <v>0</v>
      </c>
      <c r="BS81" s="35"/>
      <c r="BT81" s="4">
        <f t="shared" si="108"/>
        <v>0</v>
      </c>
      <c r="BU81" s="35"/>
      <c r="BV81" s="35"/>
      <c r="BW81" s="1">
        <f t="shared" si="109"/>
        <v>0</v>
      </c>
      <c r="BX81" s="35"/>
      <c r="BY81" s="1">
        <f t="shared" si="110"/>
        <v>0</v>
      </c>
      <c r="BZ81" s="35"/>
      <c r="CA81" s="35"/>
    </row>
    <row r="82" spans="1:79" ht="16.5" thickTop="1" thickBot="1" x14ac:dyDescent="0.3">
      <c r="A82" s="13" t="s">
        <v>44</v>
      </c>
      <c r="B82" s="41"/>
      <c r="C82" s="5">
        <f t="shared" si="111"/>
        <v>0</v>
      </c>
      <c r="D82" s="8"/>
      <c r="E82" s="8"/>
      <c r="F82" s="8" t="s">
        <v>25</v>
      </c>
      <c r="G82" s="8" t="s">
        <v>25</v>
      </c>
      <c r="H82" s="8" t="s">
        <v>25</v>
      </c>
      <c r="I82" s="8" t="s">
        <v>25</v>
      </c>
      <c r="J82" s="8" t="s">
        <v>25</v>
      </c>
      <c r="K82" s="8" t="s">
        <v>25</v>
      </c>
      <c r="L82" s="8" t="s">
        <v>25</v>
      </c>
      <c r="M82" s="8" t="s">
        <v>25</v>
      </c>
      <c r="N82" s="8" t="s">
        <v>25</v>
      </c>
      <c r="O82" s="8" t="s">
        <v>25</v>
      </c>
      <c r="P82" s="8" t="s">
        <v>25</v>
      </c>
      <c r="Q82" s="8" t="s">
        <v>25</v>
      </c>
      <c r="R82" s="8" t="s">
        <v>25</v>
      </c>
      <c r="S82" s="8" t="s">
        <v>25</v>
      </c>
      <c r="T82" s="8" t="s">
        <v>25</v>
      </c>
      <c r="U82" s="8" t="s">
        <v>25</v>
      </c>
      <c r="V82" s="8" t="s">
        <v>25</v>
      </c>
      <c r="W82" s="8" t="s">
        <v>25</v>
      </c>
      <c r="X82" s="8" t="s">
        <v>25</v>
      </c>
      <c r="Y82" s="8" t="s">
        <v>25</v>
      </c>
      <c r="Z82" s="8" t="s">
        <v>25</v>
      </c>
      <c r="AA82" s="8" t="s">
        <v>25</v>
      </c>
      <c r="AB82" s="8" t="s">
        <v>25</v>
      </c>
      <c r="AC82" s="8" t="s">
        <v>25</v>
      </c>
      <c r="AD82" s="8" t="s">
        <v>25</v>
      </c>
      <c r="AE82" s="8" t="s">
        <v>25</v>
      </c>
      <c r="AF82" s="8" t="s">
        <v>25</v>
      </c>
      <c r="AG82" s="8" t="s">
        <v>25</v>
      </c>
      <c r="AH82" s="8" t="s">
        <v>25</v>
      </c>
      <c r="AI82" s="8" t="s">
        <v>25</v>
      </c>
      <c r="AJ82" s="8" t="s">
        <v>25</v>
      </c>
      <c r="AK82" s="8" t="s">
        <v>25</v>
      </c>
      <c r="AL82" s="28" t="s">
        <v>25</v>
      </c>
      <c r="AM82" s="28" t="s">
        <v>25</v>
      </c>
      <c r="AN82" s="8" t="s">
        <v>25</v>
      </c>
      <c r="AO82" s="8" t="s">
        <v>25</v>
      </c>
      <c r="AP82" s="8" t="s">
        <v>25</v>
      </c>
      <c r="AQ82" s="8" t="s">
        <v>25</v>
      </c>
      <c r="AR82" s="8" t="s">
        <v>25</v>
      </c>
      <c r="AS82" s="8" t="s">
        <v>25</v>
      </c>
      <c r="AT82" s="8" t="s">
        <v>25</v>
      </c>
      <c r="AU82" s="8" t="s">
        <v>25</v>
      </c>
      <c r="AV82" s="28" t="s">
        <v>25</v>
      </c>
      <c r="AW82" s="28" t="s">
        <v>25</v>
      </c>
      <c r="AX82" s="28" t="s">
        <v>25</v>
      </c>
      <c r="AY82" s="28" t="s">
        <v>25</v>
      </c>
      <c r="AZ82" s="28" t="s">
        <v>25</v>
      </c>
      <c r="BA82" s="28" t="s">
        <v>25</v>
      </c>
      <c r="BB82" s="8" t="s">
        <v>25</v>
      </c>
      <c r="BC82" s="8" t="s">
        <v>25</v>
      </c>
      <c r="BD82" s="8" t="s">
        <v>25</v>
      </c>
      <c r="BE82" s="8" t="s">
        <v>25</v>
      </c>
      <c r="BF82" s="8" t="s">
        <v>25</v>
      </c>
      <c r="BG82" s="8" t="s">
        <v>25</v>
      </c>
      <c r="BH82" s="8" t="s">
        <v>25</v>
      </c>
      <c r="BI82" s="8" t="s">
        <v>25</v>
      </c>
      <c r="BJ82" s="8" t="s">
        <v>25</v>
      </c>
      <c r="BK82" s="8" t="s">
        <v>25</v>
      </c>
      <c r="BL82" s="8" t="s">
        <v>25</v>
      </c>
      <c r="BM82" s="8" t="s">
        <v>25</v>
      </c>
      <c r="BN82" s="28" t="s">
        <v>25</v>
      </c>
      <c r="BO82" s="28" t="s">
        <v>25</v>
      </c>
      <c r="BP82" s="8" t="s">
        <v>25</v>
      </c>
      <c r="BQ82" s="8" t="s">
        <v>25</v>
      </c>
      <c r="BR82" s="4">
        <f t="shared" si="107"/>
        <v>0</v>
      </c>
      <c r="BS82" s="36">
        <f t="shared" ref="BS82" si="124">BR82+BR83+BR84*2</f>
        <v>0</v>
      </c>
      <c r="BT82" s="4">
        <f t="shared" si="108"/>
        <v>0</v>
      </c>
      <c r="BU82" s="36">
        <f t="shared" ref="BU82" si="125">BT82+BT83+BT84*2</f>
        <v>0</v>
      </c>
      <c r="BV82" s="34">
        <f>SUM(BU82,BS82)</f>
        <v>0</v>
      </c>
      <c r="BW82" s="1">
        <f t="shared" si="109"/>
        <v>0</v>
      </c>
      <c r="BX82" s="34">
        <f t="shared" ref="BX82" si="126">BW82+BW83+BW84*2</f>
        <v>0</v>
      </c>
      <c r="BY82" s="1">
        <f t="shared" si="110"/>
        <v>0</v>
      </c>
      <c r="BZ82" s="34">
        <f>SUM(BY82:BY84)</f>
        <v>0</v>
      </c>
      <c r="CA82" s="34">
        <f>SUM(BZ82,BX82)</f>
        <v>0</v>
      </c>
    </row>
    <row r="83" spans="1:79" ht="16.5" thickTop="1" thickBot="1" x14ac:dyDescent="0.3">
      <c r="A83" s="12">
        <f>BU82</f>
        <v>0</v>
      </c>
      <c r="B83" s="41"/>
      <c r="C83" s="5">
        <f t="shared" si="111"/>
        <v>0</v>
      </c>
      <c r="D83" s="6"/>
      <c r="E83" s="6"/>
      <c r="F83" s="8" t="s">
        <v>25</v>
      </c>
      <c r="G83" s="8" t="s">
        <v>25</v>
      </c>
      <c r="H83" s="8" t="s">
        <v>25</v>
      </c>
      <c r="I83" s="8" t="s">
        <v>25</v>
      </c>
      <c r="J83" s="8" t="s">
        <v>25</v>
      </c>
      <c r="K83" s="8" t="s">
        <v>25</v>
      </c>
      <c r="L83" s="8" t="s">
        <v>25</v>
      </c>
      <c r="M83" s="8" t="s">
        <v>25</v>
      </c>
      <c r="N83" s="8" t="s">
        <v>25</v>
      </c>
      <c r="O83" s="8" t="s">
        <v>25</v>
      </c>
      <c r="P83" s="8" t="s">
        <v>25</v>
      </c>
      <c r="Q83" s="8" t="s">
        <v>25</v>
      </c>
      <c r="R83" s="8" t="s">
        <v>25</v>
      </c>
      <c r="S83" s="8" t="s">
        <v>25</v>
      </c>
      <c r="T83" s="8" t="s">
        <v>25</v>
      </c>
      <c r="U83" s="8" t="s">
        <v>25</v>
      </c>
      <c r="V83" s="8" t="s">
        <v>25</v>
      </c>
      <c r="W83" s="8" t="s">
        <v>25</v>
      </c>
      <c r="X83" s="8" t="s">
        <v>25</v>
      </c>
      <c r="Y83" s="8" t="s">
        <v>25</v>
      </c>
      <c r="Z83" s="8" t="s">
        <v>25</v>
      </c>
      <c r="AA83" s="8" t="s">
        <v>25</v>
      </c>
      <c r="AB83" s="8" t="s">
        <v>25</v>
      </c>
      <c r="AC83" s="8" t="s">
        <v>25</v>
      </c>
      <c r="AD83" s="8" t="s">
        <v>25</v>
      </c>
      <c r="AE83" s="8" t="s">
        <v>25</v>
      </c>
      <c r="AF83" s="8" t="s">
        <v>25</v>
      </c>
      <c r="AG83" s="8" t="s">
        <v>25</v>
      </c>
      <c r="AH83" s="8" t="s">
        <v>25</v>
      </c>
      <c r="AI83" s="8" t="s">
        <v>25</v>
      </c>
      <c r="AJ83" s="8" t="s">
        <v>25</v>
      </c>
      <c r="AK83" s="8" t="s">
        <v>25</v>
      </c>
      <c r="AL83" s="28" t="s">
        <v>25</v>
      </c>
      <c r="AM83" s="28" t="s">
        <v>25</v>
      </c>
      <c r="AN83" s="8" t="s">
        <v>25</v>
      </c>
      <c r="AO83" s="8" t="s">
        <v>25</v>
      </c>
      <c r="AP83" s="8" t="s">
        <v>25</v>
      </c>
      <c r="AQ83" s="8" t="s">
        <v>25</v>
      </c>
      <c r="AR83" s="8" t="s">
        <v>25</v>
      </c>
      <c r="AS83" s="8" t="s">
        <v>25</v>
      </c>
      <c r="AT83" s="8" t="s">
        <v>25</v>
      </c>
      <c r="AU83" s="8" t="s">
        <v>25</v>
      </c>
      <c r="AV83" s="28" t="s">
        <v>25</v>
      </c>
      <c r="AW83" s="28" t="s">
        <v>25</v>
      </c>
      <c r="AX83" s="28" t="s">
        <v>25</v>
      </c>
      <c r="AY83" s="28" t="s">
        <v>25</v>
      </c>
      <c r="AZ83" s="28" t="s">
        <v>25</v>
      </c>
      <c r="BA83" s="28" t="s">
        <v>25</v>
      </c>
      <c r="BB83" s="8" t="s">
        <v>25</v>
      </c>
      <c r="BC83" s="8" t="s">
        <v>25</v>
      </c>
      <c r="BD83" s="8" t="s">
        <v>25</v>
      </c>
      <c r="BE83" s="8" t="s">
        <v>25</v>
      </c>
      <c r="BF83" s="8" t="s">
        <v>25</v>
      </c>
      <c r="BG83" s="8" t="s">
        <v>25</v>
      </c>
      <c r="BH83" s="8" t="s">
        <v>25</v>
      </c>
      <c r="BI83" s="8" t="s">
        <v>25</v>
      </c>
      <c r="BJ83" s="8" t="s">
        <v>25</v>
      </c>
      <c r="BK83" s="8" t="s">
        <v>25</v>
      </c>
      <c r="BL83" s="8" t="s">
        <v>25</v>
      </c>
      <c r="BM83" s="8" t="s">
        <v>25</v>
      </c>
      <c r="BN83" s="28" t="s">
        <v>25</v>
      </c>
      <c r="BO83" s="28" t="s">
        <v>25</v>
      </c>
      <c r="BP83" s="8" t="s">
        <v>25</v>
      </c>
      <c r="BQ83" s="8" t="s">
        <v>25</v>
      </c>
      <c r="BR83" s="4">
        <f t="shared" si="107"/>
        <v>0</v>
      </c>
      <c r="BS83" s="34"/>
      <c r="BT83" s="4">
        <f t="shared" si="108"/>
        <v>0</v>
      </c>
      <c r="BU83" s="34"/>
      <c r="BV83" s="34"/>
      <c r="BW83" s="1">
        <f t="shared" si="109"/>
        <v>0</v>
      </c>
      <c r="BX83" s="34"/>
      <c r="BY83" s="1">
        <f t="shared" si="110"/>
        <v>0</v>
      </c>
      <c r="BZ83" s="34"/>
      <c r="CA83" s="34"/>
    </row>
    <row r="84" spans="1:79" ht="16.5" thickTop="1" thickBot="1" x14ac:dyDescent="0.3">
      <c r="A84" s="12">
        <f t="shared" ref="A84" si="127">BR84</f>
        <v>0</v>
      </c>
      <c r="B84" s="42"/>
      <c r="C84" s="5">
        <f t="shared" si="111"/>
        <v>0</v>
      </c>
      <c r="D84" s="7"/>
      <c r="E84" s="7"/>
      <c r="F84" s="8" t="s">
        <v>25</v>
      </c>
      <c r="G84" s="8" t="s">
        <v>25</v>
      </c>
      <c r="H84" s="8" t="s">
        <v>25</v>
      </c>
      <c r="I84" s="8" t="s">
        <v>25</v>
      </c>
      <c r="J84" s="8" t="s">
        <v>25</v>
      </c>
      <c r="K84" s="8" t="s">
        <v>25</v>
      </c>
      <c r="L84" s="8" t="s">
        <v>25</v>
      </c>
      <c r="M84" s="8" t="s">
        <v>25</v>
      </c>
      <c r="N84" s="8" t="s">
        <v>25</v>
      </c>
      <c r="O84" s="8" t="s">
        <v>25</v>
      </c>
      <c r="P84" s="8" t="s">
        <v>25</v>
      </c>
      <c r="Q84" s="8" t="s">
        <v>25</v>
      </c>
      <c r="R84" s="8" t="s">
        <v>25</v>
      </c>
      <c r="S84" s="8" t="s">
        <v>25</v>
      </c>
      <c r="T84" s="8" t="s">
        <v>25</v>
      </c>
      <c r="U84" s="8" t="s">
        <v>25</v>
      </c>
      <c r="V84" s="8" t="s">
        <v>25</v>
      </c>
      <c r="W84" s="8" t="s">
        <v>25</v>
      </c>
      <c r="X84" s="8" t="s">
        <v>25</v>
      </c>
      <c r="Y84" s="8" t="s">
        <v>25</v>
      </c>
      <c r="Z84" s="8" t="s">
        <v>25</v>
      </c>
      <c r="AA84" s="8" t="s">
        <v>25</v>
      </c>
      <c r="AB84" s="8" t="s">
        <v>25</v>
      </c>
      <c r="AC84" s="8" t="s">
        <v>25</v>
      </c>
      <c r="AD84" s="8" t="s">
        <v>25</v>
      </c>
      <c r="AE84" s="8" t="s">
        <v>25</v>
      </c>
      <c r="AF84" s="8" t="s">
        <v>25</v>
      </c>
      <c r="AG84" s="8" t="s">
        <v>25</v>
      </c>
      <c r="AH84" s="8" t="s">
        <v>25</v>
      </c>
      <c r="AI84" s="8" t="s">
        <v>25</v>
      </c>
      <c r="AJ84" s="8" t="s">
        <v>25</v>
      </c>
      <c r="AK84" s="8" t="s">
        <v>25</v>
      </c>
      <c r="AL84" s="28" t="s">
        <v>25</v>
      </c>
      <c r="AM84" s="28" t="s">
        <v>25</v>
      </c>
      <c r="AN84" s="8" t="s">
        <v>25</v>
      </c>
      <c r="AO84" s="8" t="s">
        <v>25</v>
      </c>
      <c r="AP84" s="8" t="s">
        <v>25</v>
      </c>
      <c r="AQ84" s="8" t="s">
        <v>25</v>
      </c>
      <c r="AR84" s="8" t="s">
        <v>25</v>
      </c>
      <c r="AS84" s="8" t="s">
        <v>25</v>
      </c>
      <c r="AT84" s="8" t="s">
        <v>25</v>
      </c>
      <c r="AU84" s="8" t="s">
        <v>25</v>
      </c>
      <c r="AV84" s="28" t="s">
        <v>25</v>
      </c>
      <c r="AW84" s="28" t="s">
        <v>25</v>
      </c>
      <c r="AX84" s="28" t="s">
        <v>25</v>
      </c>
      <c r="AY84" s="28" t="s">
        <v>25</v>
      </c>
      <c r="AZ84" s="28" t="s">
        <v>25</v>
      </c>
      <c r="BA84" s="28" t="s">
        <v>25</v>
      </c>
      <c r="BB84" s="8" t="s">
        <v>25</v>
      </c>
      <c r="BC84" s="8" t="s">
        <v>25</v>
      </c>
      <c r="BD84" s="8" t="s">
        <v>25</v>
      </c>
      <c r="BE84" s="8" t="s">
        <v>25</v>
      </c>
      <c r="BF84" s="8" t="s">
        <v>25</v>
      </c>
      <c r="BG84" s="8" t="s">
        <v>25</v>
      </c>
      <c r="BH84" s="8" t="s">
        <v>25</v>
      </c>
      <c r="BI84" s="8" t="s">
        <v>25</v>
      </c>
      <c r="BJ84" s="8" t="s">
        <v>25</v>
      </c>
      <c r="BK84" s="8" t="s">
        <v>25</v>
      </c>
      <c r="BL84" s="8" t="s">
        <v>25</v>
      </c>
      <c r="BM84" s="8" t="s">
        <v>25</v>
      </c>
      <c r="BN84" s="28" t="s">
        <v>25</v>
      </c>
      <c r="BO84" s="28" t="s">
        <v>25</v>
      </c>
      <c r="BP84" s="8" t="s">
        <v>25</v>
      </c>
      <c r="BQ84" s="8" t="s">
        <v>25</v>
      </c>
      <c r="BR84" s="4">
        <f t="shared" si="107"/>
        <v>0</v>
      </c>
      <c r="BS84" s="35"/>
      <c r="BT84" s="4">
        <f t="shared" si="108"/>
        <v>0</v>
      </c>
      <c r="BU84" s="35"/>
      <c r="BV84" s="35"/>
      <c r="BW84" s="1">
        <f t="shared" si="109"/>
        <v>0</v>
      </c>
      <c r="BX84" s="35"/>
      <c r="BY84" s="1">
        <f t="shared" si="110"/>
        <v>0</v>
      </c>
      <c r="BZ84" s="35"/>
      <c r="CA84" s="35"/>
    </row>
    <row r="85" spans="1:79" ht="15.75" thickTop="1" x14ac:dyDescent="0.25">
      <c r="A85" s="43" t="s">
        <v>14</v>
      </c>
      <c r="B85" s="3"/>
      <c r="C85" s="3"/>
      <c r="D85" s="8"/>
      <c r="E85" s="8"/>
      <c r="F85" s="8"/>
      <c r="G85" s="8"/>
      <c r="H85" s="8"/>
      <c r="I85" s="8"/>
      <c r="J85" s="8"/>
      <c r="K85" s="8"/>
      <c r="L85" s="11"/>
      <c r="M85" s="11"/>
      <c r="N85" s="8"/>
      <c r="O85" s="8"/>
      <c r="P85" s="11"/>
      <c r="Q85" s="11"/>
      <c r="R85" s="8"/>
      <c r="S85" s="8"/>
      <c r="T85" s="8"/>
      <c r="U85" s="8"/>
      <c r="V85" s="8"/>
      <c r="W85" s="8"/>
      <c r="X85" s="8"/>
      <c r="Y85" s="8"/>
      <c r="Z85" s="11"/>
      <c r="AA85" s="11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28"/>
      <c r="AM85" s="28"/>
      <c r="AN85" s="11"/>
      <c r="AO85" s="11"/>
      <c r="AP85" s="8"/>
      <c r="AQ85" s="8"/>
      <c r="AR85" s="8"/>
      <c r="AS85" s="8"/>
      <c r="AT85" s="8"/>
      <c r="AU85" s="8"/>
      <c r="AV85" s="28"/>
      <c r="AW85" s="28"/>
      <c r="AX85" s="28"/>
      <c r="AY85" s="28"/>
      <c r="AZ85" s="28"/>
      <c r="BA85" s="28"/>
      <c r="BB85" s="11"/>
      <c r="BC85" s="11"/>
      <c r="BD85" s="8"/>
      <c r="BE85" s="8"/>
      <c r="BF85" s="8"/>
      <c r="BG85" s="8"/>
      <c r="BH85" s="8"/>
      <c r="BI85" s="8"/>
      <c r="BJ85" s="11"/>
      <c r="BK85" s="11"/>
      <c r="BL85" s="9"/>
      <c r="BM85" s="9"/>
      <c r="BN85" s="29"/>
      <c r="BO85" s="29"/>
      <c r="BP85" s="9"/>
      <c r="BQ85" s="9"/>
      <c r="BR85" s="1"/>
      <c r="BS85" s="1">
        <f t="shared" ref="BS85:CA85" si="128">SUM(BS7:BS84)</f>
        <v>521</v>
      </c>
      <c r="BT85" s="1"/>
      <c r="BU85" s="1">
        <f t="shared" si="128"/>
        <v>0</v>
      </c>
      <c r="BV85" s="1">
        <f t="shared" si="128"/>
        <v>521</v>
      </c>
      <c r="BW85" s="1"/>
      <c r="BX85" s="1">
        <f t="shared" si="128"/>
        <v>76</v>
      </c>
      <c r="BY85" s="1">
        <f t="shared" ref="BY85" si="129">SUM(BK85,BC85,AO85,AA85,Q85,M85)</f>
        <v>0</v>
      </c>
      <c r="BZ85" s="1">
        <f t="shared" si="128"/>
        <v>0</v>
      </c>
      <c r="CA85" s="1">
        <f t="shared" si="128"/>
        <v>76</v>
      </c>
    </row>
    <row r="86" spans="1:79" x14ac:dyDescent="0.25">
      <c r="A86" s="43"/>
      <c r="B86" s="2" t="s">
        <v>4</v>
      </c>
      <c r="C86" s="2"/>
      <c r="D86" s="6">
        <f t="shared" ref="D86:AI86" si="130">SUM(D7,D10,D13,D16,D19,D22,D25,D28,D31,D34,D37,D40,D43,D46,D49,D52,D55,D58,D61,D64,D67,D70,D73,D76,D79,D82)</f>
        <v>0</v>
      </c>
      <c r="E86" s="6">
        <f t="shared" si="130"/>
        <v>0</v>
      </c>
      <c r="F86" s="6">
        <f t="shared" si="130"/>
        <v>5</v>
      </c>
      <c r="G86" s="6">
        <f t="shared" si="130"/>
        <v>0</v>
      </c>
      <c r="H86" s="6">
        <f t="shared" si="130"/>
        <v>5</v>
      </c>
      <c r="I86" s="6">
        <f t="shared" si="130"/>
        <v>0</v>
      </c>
      <c r="J86" s="6">
        <f t="shared" si="130"/>
        <v>5</v>
      </c>
      <c r="K86" s="6">
        <f t="shared" si="130"/>
        <v>0</v>
      </c>
      <c r="L86" s="10">
        <f t="shared" si="130"/>
        <v>5</v>
      </c>
      <c r="M86" s="10">
        <f t="shared" si="130"/>
        <v>0</v>
      </c>
      <c r="N86" s="6">
        <f t="shared" si="130"/>
        <v>5</v>
      </c>
      <c r="O86" s="6">
        <f t="shared" si="130"/>
        <v>0</v>
      </c>
      <c r="P86" s="10">
        <f t="shared" si="130"/>
        <v>5</v>
      </c>
      <c r="Q86" s="10">
        <f t="shared" si="130"/>
        <v>0</v>
      </c>
      <c r="R86" s="6">
        <f t="shared" si="130"/>
        <v>5</v>
      </c>
      <c r="S86" s="6">
        <f t="shared" si="130"/>
        <v>0</v>
      </c>
      <c r="T86" s="6">
        <f t="shared" si="130"/>
        <v>5</v>
      </c>
      <c r="U86" s="6">
        <f t="shared" si="130"/>
        <v>0</v>
      </c>
      <c r="V86" s="6">
        <f t="shared" si="130"/>
        <v>4</v>
      </c>
      <c r="W86" s="6">
        <f t="shared" si="130"/>
        <v>0</v>
      </c>
      <c r="X86" s="6">
        <f t="shared" si="130"/>
        <v>4</v>
      </c>
      <c r="Y86" s="6">
        <f t="shared" si="130"/>
        <v>0</v>
      </c>
      <c r="Z86" s="10">
        <f t="shared" si="130"/>
        <v>4</v>
      </c>
      <c r="AA86" s="10">
        <f t="shared" si="130"/>
        <v>0</v>
      </c>
      <c r="AB86" s="6">
        <f t="shared" si="130"/>
        <v>5</v>
      </c>
      <c r="AC86" s="6">
        <f t="shared" si="130"/>
        <v>0</v>
      </c>
      <c r="AD86" s="6">
        <f t="shared" si="130"/>
        <v>4</v>
      </c>
      <c r="AE86" s="6">
        <f t="shared" si="130"/>
        <v>0</v>
      </c>
      <c r="AF86" s="6">
        <f t="shared" si="130"/>
        <v>5</v>
      </c>
      <c r="AG86" s="6">
        <f t="shared" si="130"/>
        <v>0</v>
      </c>
      <c r="AH86" s="6">
        <f t="shared" si="130"/>
        <v>5</v>
      </c>
      <c r="AI86" s="6">
        <f t="shared" si="130"/>
        <v>0</v>
      </c>
      <c r="AJ86" s="6">
        <f t="shared" ref="AJ86:BQ86" si="131">SUM(AJ7,AJ10,AJ13,AJ16,AJ19,AJ22,AJ25,AJ28,AJ31,AJ34,AJ37,AJ40,AJ43,AJ46,AJ49,AJ52,AJ55,AJ58,AJ61,AJ64,AJ67,AJ70,AJ73,AJ76,AJ79,AJ82)</f>
        <v>4</v>
      </c>
      <c r="AK86" s="6">
        <f t="shared" si="131"/>
        <v>0</v>
      </c>
      <c r="AL86" s="26">
        <f t="shared" si="131"/>
        <v>4</v>
      </c>
      <c r="AM86" s="26">
        <f t="shared" si="131"/>
        <v>0</v>
      </c>
      <c r="AN86" s="10">
        <f t="shared" si="131"/>
        <v>4</v>
      </c>
      <c r="AO86" s="10">
        <f t="shared" si="131"/>
        <v>0</v>
      </c>
      <c r="AP86" s="6">
        <f t="shared" si="131"/>
        <v>5</v>
      </c>
      <c r="AQ86" s="6">
        <f t="shared" si="131"/>
        <v>0</v>
      </c>
      <c r="AR86" s="6">
        <f t="shared" si="131"/>
        <v>5</v>
      </c>
      <c r="AS86" s="6">
        <f t="shared" si="131"/>
        <v>0</v>
      </c>
      <c r="AT86" s="6">
        <f t="shared" si="131"/>
        <v>5</v>
      </c>
      <c r="AU86" s="6">
        <f t="shared" si="131"/>
        <v>0</v>
      </c>
      <c r="AV86" s="26">
        <f>SUM(AV7,AV10,AV13,AV16,AV19,AV22,AV25,AV28,AV31,AV34,AV37,AV40,AV43,AV46,AV49,AV52,AV55,AV58,AV61,AV64,AV67,AV70,AV73,AV76,AV79,AV82)</f>
        <v>3</v>
      </c>
      <c r="AW86" s="26">
        <f t="shared" si="131"/>
        <v>0</v>
      </c>
      <c r="AX86" s="26">
        <f t="shared" si="131"/>
        <v>4</v>
      </c>
      <c r="AY86" s="26">
        <f t="shared" si="131"/>
        <v>0</v>
      </c>
      <c r="AZ86" s="26">
        <f t="shared" si="131"/>
        <v>4</v>
      </c>
      <c r="BA86" s="26">
        <f t="shared" si="131"/>
        <v>0</v>
      </c>
      <c r="BB86" s="10">
        <f t="shared" si="131"/>
        <v>5</v>
      </c>
      <c r="BC86" s="10">
        <f t="shared" si="131"/>
        <v>0</v>
      </c>
      <c r="BD86" s="6">
        <f t="shared" si="131"/>
        <v>5</v>
      </c>
      <c r="BE86" s="6">
        <f t="shared" si="131"/>
        <v>0</v>
      </c>
      <c r="BF86" s="6">
        <f>SUM(BF7,BF10,BF13,BF16,BF19,BF22,BF25,BF28,BF31,BF34,BF37,BF40,BF43,BF46,BF49,BF52,BF55,BF58,BF61,BF64,BF67,BF70,BF73,BF76,BF79,BF82)</f>
        <v>4</v>
      </c>
      <c r="BG86" s="6">
        <f t="shared" si="131"/>
        <v>0</v>
      </c>
      <c r="BH86" s="6">
        <f t="shared" si="131"/>
        <v>5</v>
      </c>
      <c r="BI86" s="6">
        <f t="shared" si="131"/>
        <v>0</v>
      </c>
      <c r="BJ86" s="10">
        <f t="shared" si="131"/>
        <v>4</v>
      </c>
      <c r="BK86" s="10">
        <f t="shared" si="131"/>
        <v>0</v>
      </c>
      <c r="BL86" s="6">
        <f t="shared" si="131"/>
        <v>4</v>
      </c>
      <c r="BM86" s="6">
        <f t="shared" si="131"/>
        <v>0</v>
      </c>
      <c r="BN86" s="26">
        <f>SUM(BN7,BN10,BN13,BN16,BN19,BN22,BN25,BN28,BN31,BN34,BN37,BN40,BN43,BN46,BN49,BN52,BN55,BN58,BN61,BN64,BN67,BN70,BN73,BN76,BN79,BN82)</f>
        <v>5</v>
      </c>
      <c r="BO86" s="26"/>
      <c r="BP86" s="6"/>
      <c r="BQ86" s="6">
        <f t="shared" si="131"/>
        <v>0</v>
      </c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25">
      <c r="A87" s="43"/>
      <c r="B87" s="2" t="s">
        <v>5</v>
      </c>
      <c r="C87" s="2"/>
      <c r="D87" s="6">
        <f t="shared" ref="D87:AI87" si="132">SUM(D8,D11,D14,D17,D20,D23,D26,D29,D32,D35,D38,D41,D44,D47,D50,D53,D56,D59,D62,D65,D68,D71,D74,D77,D80,D83)</f>
        <v>0</v>
      </c>
      <c r="E87" s="6">
        <f t="shared" si="132"/>
        <v>0</v>
      </c>
      <c r="F87" s="6">
        <f t="shared" si="132"/>
        <v>5</v>
      </c>
      <c r="G87" s="6">
        <f t="shared" si="132"/>
        <v>0</v>
      </c>
      <c r="H87" s="6">
        <f t="shared" si="132"/>
        <v>4</v>
      </c>
      <c r="I87" s="6">
        <f t="shared" si="132"/>
        <v>0</v>
      </c>
      <c r="J87" s="6">
        <f t="shared" si="132"/>
        <v>5</v>
      </c>
      <c r="K87" s="6">
        <f t="shared" si="132"/>
        <v>0</v>
      </c>
      <c r="L87" s="10">
        <f t="shared" si="132"/>
        <v>5</v>
      </c>
      <c r="M87" s="10">
        <f t="shared" si="132"/>
        <v>0</v>
      </c>
      <c r="N87" s="6">
        <f t="shared" si="132"/>
        <v>5</v>
      </c>
      <c r="O87" s="6">
        <f t="shared" si="132"/>
        <v>0</v>
      </c>
      <c r="P87" s="10">
        <f t="shared" si="132"/>
        <v>5</v>
      </c>
      <c r="Q87" s="10">
        <f t="shared" si="132"/>
        <v>0</v>
      </c>
      <c r="R87" s="6">
        <f t="shared" si="132"/>
        <v>5</v>
      </c>
      <c r="S87" s="6">
        <f t="shared" si="132"/>
        <v>0</v>
      </c>
      <c r="T87" s="6">
        <f t="shared" si="132"/>
        <v>4</v>
      </c>
      <c r="U87" s="6">
        <f t="shared" si="132"/>
        <v>0</v>
      </c>
      <c r="V87" s="6">
        <f t="shared" si="132"/>
        <v>4</v>
      </c>
      <c r="W87" s="6">
        <f t="shared" si="132"/>
        <v>0</v>
      </c>
      <c r="X87" s="6">
        <f t="shared" si="132"/>
        <v>4</v>
      </c>
      <c r="Y87" s="6">
        <f t="shared" si="132"/>
        <v>0</v>
      </c>
      <c r="Z87" s="10">
        <f t="shared" si="132"/>
        <v>4</v>
      </c>
      <c r="AA87" s="10">
        <f t="shared" si="132"/>
        <v>0</v>
      </c>
      <c r="AB87" s="6">
        <f t="shared" si="132"/>
        <v>4</v>
      </c>
      <c r="AC87" s="6">
        <f t="shared" si="132"/>
        <v>0</v>
      </c>
      <c r="AD87" s="6">
        <f t="shared" si="132"/>
        <v>4</v>
      </c>
      <c r="AE87" s="6">
        <f t="shared" si="132"/>
        <v>0</v>
      </c>
      <c r="AF87" s="6">
        <f t="shared" si="132"/>
        <v>5</v>
      </c>
      <c r="AG87" s="6">
        <f t="shared" si="132"/>
        <v>0</v>
      </c>
      <c r="AH87" s="6">
        <f t="shared" si="132"/>
        <v>5</v>
      </c>
      <c r="AI87" s="6">
        <f t="shared" si="132"/>
        <v>0</v>
      </c>
      <c r="AJ87" s="6">
        <f t="shared" ref="AJ87:BQ87" si="133">SUM(AJ8,AJ11,AJ14,AJ17,AJ20,AJ23,AJ26,AJ29,AJ32,AJ35,AJ38,AJ41,AJ44,AJ47,AJ50,AJ53,AJ56,AJ59,AJ62,AJ65,AJ68,AJ71,AJ74,AJ77,AJ80,AJ83)</f>
        <v>4</v>
      </c>
      <c r="AK87" s="6">
        <f t="shared" si="133"/>
        <v>0</v>
      </c>
      <c r="AL87" s="26">
        <f t="shared" si="133"/>
        <v>4</v>
      </c>
      <c r="AM87" s="26">
        <f t="shared" si="133"/>
        <v>0</v>
      </c>
      <c r="AN87" s="10">
        <f t="shared" si="133"/>
        <v>4</v>
      </c>
      <c r="AO87" s="10">
        <f t="shared" si="133"/>
        <v>0</v>
      </c>
      <c r="AP87" s="6">
        <f t="shared" si="133"/>
        <v>4</v>
      </c>
      <c r="AQ87" s="6">
        <f t="shared" si="133"/>
        <v>0</v>
      </c>
      <c r="AR87" s="6">
        <f t="shared" si="133"/>
        <v>5</v>
      </c>
      <c r="AS87" s="6">
        <f t="shared" si="133"/>
        <v>0</v>
      </c>
      <c r="AT87" s="6">
        <f t="shared" si="133"/>
        <v>5</v>
      </c>
      <c r="AU87" s="6">
        <f t="shared" si="133"/>
        <v>0</v>
      </c>
      <c r="AV87" s="26">
        <f t="shared" si="133"/>
        <v>4</v>
      </c>
      <c r="AW87" s="26">
        <f t="shared" si="133"/>
        <v>0</v>
      </c>
      <c r="AX87" s="26">
        <f t="shared" si="133"/>
        <v>5</v>
      </c>
      <c r="AY87" s="26">
        <f t="shared" si="133"/>
        <v>0</v>
      </c>
      <c r="AZ87" s="26">
        <f t="shared" si="133"/>
        <v>4</v>
      </c>
      <c r="BA87" s="26">
        <f t="shared" si="133"/>
        <v>0</v>
      </c>
      <c r="BB87" s="10">
        <f t="shared" si="133"/>
        <v>4</v>
      </c>
      <c r="BC87" s="10">
        <f t="shared" si="133"/>
        <v>0</v>
      </c>
      <c r="BD87" s="6">
        <f t="shared" si="133"/>
        <v>5</v>
      </c>
      <c r="BE87" s="6">
        <f t="shared" si="133"/>
        <v>0</v>
      </c>
      <c r="BF87" s="6">
        <f t="shared" si="133"/>
        <v>5</v>
      </c>
      <c r="BG87" s="6">
        <f t="shared" si="133"/>
        <v>0</v>
      </c>
      <c r="BH87" s="6">
        <f t="shared" si="133"/>
        <v>4</v>
      </c>
      <c r="BI87" s="6">
        <f t="shared" si="133"/>
        <v>0</v>
      </c>
      <c r="BJ87" s="10">
        <f t="shared" si="133"/>
        <v>4</v>
      </c>
      <c r="BK87" s="10">
        <f t="shared" si="133"/>
        <v>0</v>
      </c>
      <c r="BL87" s="6">
        <f t="shared" si="133"/>
        <v>4</v>
      </c>
      <c r="BM87" s="6">
        <f t="shared" si="133"/>
        <v>0</v>
      </c>
      <c r="BN87" s="26">
        <f>SUM(BN8,BN11,BN14,BN17,BN20,BN23,BN26,BN29,BN32,BN35,BN38,BN41,BN44,BN47,BN50,BN53,BN56,BN59,BN62,BN65,BN68,BN71,BN74,BN77,BN80,BN83)</f>
        <v>5</v>
      </c>
      <c r="BO87" s="26"/>
      <c r="BP87" s="6"/>
      <c r="BQ87" s="6">
        <f t="shared" si="133"/>
        <v>0</v>
      </c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ht="15.75" thickBot="1" x14ac:dyDescent="0.3">
      <c r="A88" s="44"/>
      <c r="B88" s="2" t="s">
        <v>6</v>
      </c>
      <c r="C88" s="2"/>
      <c r="D88" s="6">
        <f t="shared" ref="D88:AI88" si="134">SUM(D9,D12,D15,D18,D21,D24,D27,D30,D33,D36,D39,D42,D45,D48,D51,D54,D57,D60,D63,D66,D69,D72,D75,D78,D81,D84)</f>
        <v>0</v>
      </c>
      <c r="E88" s="6">
        <f t="shared" si="134"/>
        <v>0</v>
      </c>
      <c r="F88" s="6">
        <f t="shared" si="134"/>
        <v>4</v>
      </c>
      <c r="G88" s="6">
        <f t="shared" si="134"/>
        <v>0</v>
      </c>
      <c r="H88" s="6">
        <f t="shared" si="134"/>
        <v>4</v>
      </c>
      <c r="I88" s="6">
        <f t="shared" si="134"/>
        <v>0</v>
      </c>
      <c r="J88" s="6">
        <f t="shared" si="134"/>
        <v>4</v>
      </c>
      <c r="K88" s="6">
        <f t="shared" si="134"/>
        <v>0</v>
      </c>
      <c r="L88" s="10">
        <f t="shared" si="134"/>
        <v>4</v>
      </c>
      <c r="M88" s="10">
        <f t="shared" si="134"/>
        <v>0</v>
      </c>
      <c r="N88" s="6">
        <f t="shared" si="134"/>
        <v>4</v>
      </c>
      <c r="O88" s="6">
        <f t="shared" si="134"/>
        <v>0</v>
      </c>
      <c r="P88" s="10">
        <f t="shared" si="134"/>
        <v>4</v>
      </c>
      <c r="Q88" s="10">
        <f t="shared" si="134"/>
        <v>0</v>
      </c>
      <c r="R88" s="6">
        <f t="shared" si="134"/>
        <v>4</v>
      </c>
      <c r="S88" s="6">
        <f t="shared" si="134"/>
        <v>0</v>
      </c>
      <c r="T88" s="6">
        <f t="shared" si="134"/>
        <v>4</v>
      </c>
      <c r="U88" s="6">
        <f t="shared" si="134"/>
        <v>0</v>
      </c>
      <c r="V88" s="6">
        <f t="shared" si="134"/>
        <v>4</v>
      </c>
      <c r="W88" s="6">
        <f t="shared" si="134"/>
        <v>0</v>
      </c>
      <c r="X88" s="6">
        <f t="shared" si="134"/>
        <v>4</v>
      </c>
      <c r="Y88" s="6">
        <f t="shared" si="134"/>
        <v>0</v>
      </c>
      <c r="Z88" s="10">
        <f t="shared" si="134"/>
        <v>4</v>
      </c>
      <c r="AA88" s="10">
        <f t="shared" si="134"/>
        <v>0</v>
      </c>
      <c r="AB88" s="6">
        <f t="shared" si="134"/>
        <v>4</v>
      </c>
      <c r="AC88" s="6">
        <f t="shared" si="134"/>
        <v>0</v>
      </c>
      <c r="AD88" s="6">
        <f t="shared" si="134"/>
        <v>4</v>
      </c>
      <c r="AE88" s="6">
        <f t="shared" si="134"/>
        <v>0</v>
      </c>
      <c r="AF88" s="6">
        <f t="shared" si="134"/>
        <v>4</v>
      </c>
      <c r="AG88" s="6">
        <f t="shared" si="134"/>
        <v>0</v>
      </c>
      <c r="AH88" s="6">
        <f t="shared" si="134"/>
        <v>4</v>
      </c>
      <c r="AI88" s="6">
        <f t="shared" si="134"/>
        <v>0</v>
      </c>
      <c r="AJ88" s="6">
        <f t="shared" ref="AJ88:BQ88" si="135">SUM(AJ9,AJ12,AJ15,AJ18,AJ21,AJ24,AJ27,AJ30,AJ33,AJ36,AJ39,AJ42,AJ45,AJ48,AJ51,AJ54,AJ57,AJ60,AJ63,AJ66,AJ69,AJ72,AJ75,AJ78,AJ81,AJ84)</f>
        <v>4</v>
      </c>
      <c r="AK88" s="6">
        <f t="shared" si="135"/>
        <v>0</v>
      </c>
      <c r="AL88" s="26">
        <f t="shared" si="135"/>
        <v>4</v>
      </c>
      <c r="AM88" s="26">
        <f t="shared" si="135"/>
        <v>0</v>
      </c>
      <c r="AN88" s="10">
        <f t="shared" si="135"/>
        <v>4</v>
      </c>
      <c r="AO88" s="10">
        <f t="shared" si="135"/>
        <v>0</v>
      </c>
      <c r="AP88" s="6">
        <f t="shared" si="135"/>
        <v>4</v>
      </c>
      <c r="AQ88" s="6">
        <f t="shared" si="135"/>
        <v>0</v>
      </c>
      <c r="AR88" s="6">
        <f t="shared" si="135"/>
        <v>4</v>
      </c>
      <c r="AS88" s="6">
        <f t="shared" si="135"/>
        <v>0</v>
      </c>
      <c r="AT88" s="6">
        <f t="shared" si="135"/>
        <v>4</v>
      </c>
      <c r="AU88" s="6">
        <f t="shared" si="135"/>
        <v>0</v>
      </c>
      <c r="AV88" s="26">
        <f t="shared" si="135"/>
        <v>2</v>
      </c>
      <c r="AW88" s="26">
        <f t="shared" si="135"/>
        <v>0</v>
      </c>
      <c r="AX88" s="26">
        <f t="shared" si="135"/>
        <v>4</v>
      </c>
      <c r="AY88" s="26">
        <f t="shared" si="135"/>
        <v>0</v>
      </c>
      <c r="AZ88" s="26">
        <f t="shared" si="135"/>
        <v>3</v>
      </c>
      <c r="BA88" s="26">
        <f t="shared" si="135"/>
        <v>0</v>
      </c>
      <c r="BB88" s="10">
        <f t="shared" si="135"/>
        <v>4</v>
      </c>
      <c r="BC88" s="10">
        <f t="shared" si="135"/>
        <v>0</v>
      </c>
      <c r="BD88" s="6">
        <f t="shared" si="135"/>
        <v>4</v>
      </c>
      <c r="BE88" s="6">
        <f t="shared" si="135"/>
        <v>0</v>
      </c>
      <c r="BF88" s="6">
        <f t="shared" si="135"/>
        <v>4</v>
      </c>
      <c r="BG88" s="6">
        <f t="shared" si="135"/>
        <v>0</v>
      </c>
      <c r="BH88" s="6">
        <f t="shared" si="135"/>
        <v>4</v>
      </c>
      <c r="BI88" s="6">
        <f t="shared" si="135"/>
        <v>0</v>
      </c>
      <c r="BJ88" s="10">
        <f t="shared" si="135"/>
        <v>4</v>
      </c>
      <c r="BK88" s="10">
        <f t="shared" si="135"/>
        <v>0</v>
      </c>
      <c r="BL88" s="6">
        <f t="shared" si="135"/>
        <v>4</v>
      </c>
      <c r="BM88" s="6">
        <f t="shared" si="135"/>
        <v>0</v>
      </c>
      <c r="BN88" s="26">
        <f>SUM(BN9,BN12,BN15,BN18,BN21,BN24,BN27,BN30,BN33,BN36,BN39,BN42,BN45,BN48,BN51,BN54,BN57,BN60,BN63,BN66,BN69,BN72,BN75,BN78,BN81,BN84)</f>
        <v>4</v>
      </c>
      <c r="BO88" s="26"/>
      <c r="BP88" s="6"/>
      <c r="BQ88" s="6">
        <f t="shared" si="135"/>
        <v>0</v>
      </c>
      <c r="BR88" s="1"/>
      <c r="BS88" s="1"/>
      <c r="BT88" s="1"/>
      <c r="BU88" s="1"/>
      <c r="BV88" s="1"/>
      <c r="BW88" s="1"/>
      <c r="BX88" s="1"/>
      <c r="BY88" s="1"/>
      <c r="BZ88" s="1"/>
      <c r="CA88" s="1"/>
    </row>
  </sheetData>
  <mergeCells count="262">
    <mergeCell ref="AD5:AE5"/>
    <mergeCell ref="V6:W6"/>
    <mergeCell ref="X6:Y6"/>
    <mergeCell ref="Z6:AA6"/>
    <mergeCell ref="BF5:BG5"/>
    <mergeCell ref="BH5:BI5"/>
    <mergeCell ref="AD6:AE6"/>
    <mergeCell ref="AF6:AG6"/>
    <mergeCell ref="AH6:AI6"/>
    <mergeCell ref="AJ6:AK6"/>
    <mergeCell ref="AL6:AM6"/>
    <mergeCell ref="AN6:AO6"/>
    <mergeCell ref="AP6:AQ6"/>
    <mergeCell ref="AR6:AS6"/>
    <mergeCell ref="BX13:BX15"/>
    <mergeCell ref="BZ13:BZ15"/>
    <mergeCell ref="BH6:BI6"/>
    <mergeCell ref="BJ6:BK6"/>
    <mergeCell ref="BL6:BM6"/>
    <mergeCell ref="AT6:AU6"/>
    <mergeCell ref="BR5:BR6"/>
    <mergeCell ref="BS5:BS6"/>
    <mergeCell ref="BT5:BT6"/>
    <mergeCell ref="BB6:BC6"/>
    <mergeCell ref="BD6:BE6"/>
    <mergeCell ref="AV6:AW6"/>
    <mergeCell ref="AX6:AY6"/>
    <mergeCell ref="BF6:BG6"/>
    <mergeCell ref="BN5:BO5"/>
    <mergeCell ref="BN6:BO6"/>
    <mergeCell ref="BP6:BQ6"/>
    <mergeCell ref="BP5:BQ5"/>
    <mergeCell ref="N6:O6"/>
    <mergeCell ref="P6:Q6"/>
    <mergeCell ref="BW5:BW6"/>
    <mergeCell ref="BX5:BX6"/>
    <mergeCell ref="BY5:BY6"/>
    <mergeCell ref="BZ5:BZ6"/>
    <mergeCell ref="BL5:BM5"/>
    <mergeCell ref="AT5:AU5"/>
    <mergeCell ref="AV5:AW5"/>
    <mergeCell ref="AX5:AY5"/>
    <mergeCell ref="AZ5:BA5"/>
    <mergeCell ref="BB5:BC5"/>
    <mergeCell ref="BD5:BE5"/>
    <mergeCell ref="AH5:AI5"/>
    <mergeCell ref="AJ5:AK5"/>
    <mergeCell ref="BV5:BV6"/>
    <mergeCell ref="AL5:AM5"/>
    <mergeCell ref="AN5:AO5"/>
    <mergeCell ref="AP5:AQ5"/>
    <mergeCell ref="AR5:AS5"/>
    <mergeCell ref="V5:W5"/>
    <mergeCell ref="BU5:BU6"/>
    <mergeCell ref="AZ6:BA6"/>
    <mergeCell ref="N5:O5"/>
    <mergeCell ref="BX43:BX45"/>
    <mergeCell ref="BZ43:BZ45"/>
    <mergeCell ref="B37:B39"/>
    <mergeCell ref="BS37:BS39"/>
    <mergeCell ref="BU37:BU39"/>
    <mergeCell ref="BV37:BV39"/>
    <mergeCell ref="BX37:BX39"/>
    <mergeCell ref="BZ37:BZ39"/>
    <mergeCell ref="B31:B33"/>
    <mergeCell ref="BS31:BS33"/>
    <mergeCell ref="BU31:BU33"/>
    <mergeCell ref="BV31:BV33"/>
    <mergeCell ref="BX31:BX33"/>
    <mergeCell ref="BZ31:BZ33"/>
    <mergeCell ref="BX67:BX69"/>
    <mergeCell ref="BZ67:BZ69"/>
    <mergeCell ref="B61:B63"/>
    <mergeCell ref="BS61:BS63"/>
    <mergeCell ref="BU61:BU63"/>
    <mergeCell ref="BV61:BV63"/>
    <mergeCell ref="BX61:BX63"/>
    <mergeCell ref="BZ61:BZ63"/>
    <mergeCell ref="B55:B57"/>
    <mergeCell ref="BS55:BS57"/>
    <mergeCell ref="BU55:BU57"/>
    <mergeCell ref="BV55:BV57"/>
    <mergeCell ref="BX55:BX57"/>
    <mergeCell ref="BZ55:BZ57"/>
    <mergeCell ref="B73:B75"/>
    <mergeCell ref="B67:B69"/>
    <mergeCell ref="B49:B51"/>
    <mergeCell ref="B43:B45"/>
    <mergeCell ref="B25:B27"/>
    <mergeCell ref="B19:B21"/>
    <mergeCell ref="D6:E6"/>
    <mergeCell ref="F6:G6"/>
    <mergeCell ref="H6:I6"/>
    <mergeCell ref="B7:B9"/>
    <mergeCell ref="B13:B15"/>
    <mergeCell ref="A5:A6"/>
    <mergeCell ref="B5:B6"/>
    <mergeCell ref="C5:C6"/>
    <mergeCell ref="D5:E5"/>
    <mergeCell ref="F5:G5"/>
    <mergeCell ref="H5:I5"/>
    <mergeCell ref="J5:K5"/>
    <mergeCell ref="L5:M5"/>
    <mergeCell ref="J6:K6"/>
    <mergeCell ref="L6:M6"/>
    <mergeCell ref="P5:Q5"/>
    <mergeCell ref="R5:S5"/>
    <mergeCell ref="T5:U5"/>
    <mergeCell ref="R6:S6"/>
    <mergeCell ref="T6:U6"/>
    <mergeCell ref="AB6:AC6"/>
    <mergeCell ref="X5:Y5"/>
    <mergeCell ref="Z5:AA5"/>
    <mergeCell ref="AB5:AC5"/>
    <mergeCell ref="CA13:CA15"/>
    <mergeCell ref="B16:B18"/>
    <mergeCell ref="BS16:BS18"/>
    <mergeCell ref="BU16:BU18"/>
    <mergeCell ref="BV16:BV18"/>
    <mergeCell ref="BX16:BX18"/>
    <mergeCell ref="BZ16:BZ18"/>
    <mergeCell ref="CA16:CA18"/>
    <mergeCell ref="BZ7:BZ9"/>
    <mergeCell ref="CA7:CA9"/>
    <mergeCell ref="B10:B12"/>
    <mergeCell ref="BS10:BS12"/>
    <mergeCell ref="BU10:BU12"/>
    <mergeCell ref="BV10:BV12"/>
    <mergeCell ref="BX10:BX12"/>
    <mergeCell ref="BZ10:BZ12"/>
    <mergeCell ref="CA10:CA12"/>
    <mergeCell ref="BV7:BV9"/>
    <mergeCell ref="BX7:BX9"/>
    <mergeCell ref="BS7:BS9"/>
    <mergeCell ref="BU7:BU9"/>
    <mergeCell ref="BS13:BS15"/>
    <mergeCell ref="BU13:BU15"/>
    <mergeCell ref="BV13:BV15"/>
    <mergeCell ref="CA5:CA6"/>
    <mergeCell ref="BJ5:BK5"/>
    <mergeCell ref="AF5:AG5"/>
    <mergeCell ref="CA25:CA27"/>
    <mergeCell ref="B28:B30"/>
    <mergeCell ref="BS28:BS30"/>
    <mergeCell ref="BU28:BU30"/>
    <mergeCell ref="BV28:BV30"/>
    <mergeCell ref="BX28:BX30"/>
    <mergeCell ref="BZ28:BZ30"/>
    <mergeCell ref="CA28:CA30"/>
    <mergeCell ref="CA19:CA21"/>
    <mergeCell ref="B22:B24"/>
    <mergeCell ref="BS22:BS24"/>
    <mergeCell ref="BU22:BU24"/>
    <mergeCell ref="BV22:BV24"/>
    <mergeCell ref="BX22:BX24"/>
    <mergeCell ref="BZ22:BZ24"/>
    <mergeCell ref="CA22:CA24"/>
    <mergeCell ref="BS25:BS27"/>
    <mergeCell ref="BU25:BU27"/>
    <mergeCell ref="BV25:BV27"/>
    <mergeCell ref="BX25:BX27"/>
    <mergeCell ref="BZ25:BZ27"/>
    <mergeCell ref="BS19:BS21"/>
    <mergeCell ref="BU19:BU21"/>
    <mergeCell ref="BV19:BV21"/>
    <mergeCell ref="CA37:CA39"/>
    <mergeCell ref="B40:B42"/>
    <mergeCell ref="BS40:BS42"/>
    <mergeCell ref="BU40:BU42"/>
    <mergeCell ref="BV40:BV42"/>
    <mergeCell ref="BX40:BX42"/>
    <mergeCell ref="BZ40:BZ42"/>
    <mergeCell ref="CA40:CA42"/>
    <mergeCell ref="CA31:CA33"/>
    <mergeCell ref="B34:B36"/>
    <mergeCell ref="BS34:BS36"/>
    <mergeCell ref="BU34:BU36"/>
    <mergeCell ref="BV34:BV36"/>
    <mergeCell ref="BX34:BX36"/>
    <mergeCell ref="BZ34:BZ36"/>
    <mergeCell ref="CA34:CA36"/>
    <mergeCell ref="BX19:BX21"/>
    <mergeCell ref="BZ19:BZ21"/>
    <mergeCell ref="CA49:CA51"/>
    <mergeCell ref="B52:B54"/>
    <mergeCell ref="BS52:BS54"/>
    <mergeCell ref="BU52:BU54"/>
    <mergeCell ref="BV52:BV54"/>
    <mergeCell ref="BX52:BX54"/>
    <mergeCell ref="BZ52:BZ54"/>
    <mergeCell ref="CA52:CA54"/>
    <mergeCell ref="CA43:CA45"/>
    <mergeCell ref="B46:B48"/>
    <mergeCell ref="BS46:BS48"/>
    <mergeCell ref="BU46:BU48"/>
    <mergeCell ref="BV46:BV48"/>
    <mergeCell ref="BX46:BX48"/>
    <mergeCell ref="BZ46:BZ48"/>
    <mergeCell ref="CA46:CA48"/>
    <mergeCell ref="BS49:BS51"/>
    <mergeCell ref="BU49:BU51"/>
    <mergeCell ref="BV49:BV51"/>
    <mergeCell ref="BX49:BX51"/>
    <mergeCell ref="BZ49:BZ51"/>
    <mergeCell ref="BS43:BS45"/>
    <mergeCell ref="BU43:BU45"/>
    <mergeCell ref="BV43:BV45"/>
    <mergeCell ref="CA61:CA63"/>
    <mergeCell ref="B64:B66"/>
    <mergeCell ref="BS64:BS66"/>
    <mergeCell ref="BU64:BU66"/>
    <mergeCell ref="BV64:BV66"/>
    <mergeCell ref="BX64:BX66"/>
    <mergeCell ref="BZ64:BZ66"/>
    <mergeCell ref="CA64:CA66"/>
    <mergeCell ref="CA55:CA57"/>
    <mergeCell ref="B58:B60"/>
    <mergeCell ref="BS58:BS60"/>
    <mergeCell ref="BU58:BU60"/>
    <mergeCell ref="BV58:BV60"/>
    <mergeCell ref="BX58:BX60"/>
    <mergeCell ref="BZ58:BZ60"/>
    <mergeCell ref="CA58:CA60"/>
    <mergeCell ref="CA73:CA75"/>
    <mergeCell ref="B76:B78"/>
    <mergeCell ref="BS76:BS78"/>
    <mergeCell ref="BU76:BU78"/>
    <mergeCell ref="BV76:BV78"/>
    <mergeCell ref="BX76:BX78"/>
    <mergeCell ref="BZ76:BZ78"/>
    <mergeCell ref="CA76:CA78"/>
    <mergeCell ref="CA67:CA69"/>
    <mergeCell ref="B70:B72"/>
    <mergeCell ref="BS70:BS72"/>
    <mergeCell ref="BU70:BU72"/>
    <mergeCell ref="BV70:BV72"/>
    <mergeCell ref="BX70:BX72"/>
    <mergeCell ref="BZ70:BZ72"/>
    <mergeCell ref="CA70:CA72"/>
    <mergeCell ref="BS73:BS75"/>
    <mergeCell ref="BU73:BU75"/>
    <mergeCell ref="BV73:BV75"/>
    <mergeCell ref="BX73:BX75"/>
    <mergeCell ref="BZ73:BZ75"/>
    <mergeCell ref="BS67:BS69"/>
    <mergeCell ref="BU67:BU69"/>
    <mergeCell ref="BV67:BV69"/>
    <mergeCell ref="A85:A88"/>
    <mergeCell ref="BX79:BX81"/>
    <mergeCell ref="BZ79:BZ81"/>
    <mergeCell ref="CA79:CA81"/>
    <mergeCell ref="B82:B84"/>
    <mergeCell ref="BS82:BS84"/>
    <mergeCell ref="BU82:BU84"/>
    <mergeCell ref="BV82:BV84"/>
    <mergeCell ref="BX82:BX84"/>
    <mergeCell ref="BZ82:BZ84"/>
    <mergeCell ref="CA82:CA84"/>
    <mergeCell ref="BS79:BS81"/>
    <mergeCell ref="BU79:BU81"/>
    <mergeCell ref="BV79:BV81"/>
    <mergeCell ref="B79:B81"/>
  </mergeCells>
  <conditionalFormatting sqref="D86:BQ88">
    <cfRule type="cellIs" dxfId="50" priority="78" operator="equal">
      <formula>4</formula>
    </cfRule>
    <cfRule type="cellIs" dxfId="49" priority="79" operator="greaterThan">
      <formula>4</formula>
    </cfRule>
  </conditionalFormatting>
  <conditionalFormatting sqref="D2:BQ4 BS2:BT2">
    <cfRule type="cellIs" dxfId="48" priority="74" operator="equal">
      <formula>4</formula>
    </cfRule>
    <cfRule type="cellIs" dxfId="47" priority="75" operator="greaterThan">
      <formula>5</formula>
    </cfRule>
    <cfRule type="cellIs" dxfId="46" priority="76" operator="equal">
      <formula>5</formula>
    </cfRule>
  </conditionalFormatting>
  <conditionalFormatting sqref="C46:C48">
    <cfRule type="cellIs" dxfId="45" priority="57" operator="equal">
      <formula>"+"</formula>
    </cfRule>
  </conditionalFormatting>
  <conditionalFormatting sqref="C49:C51">
    <cfRule type="cellIs" dxfId="44" priority="56" operator="equal">
      <formula>"+"</formula>
    </cfRule>
  </conditionalFormatting>
  <conditionalFormatting sqref="C52:C54">
    <cfRule type="cellIs" dxfId="43" priority="55" operator="equal">
      <formula>"+"</formula>
    </cfRule>
  </conditionalFormatting>
  <conditionalFormatting sqref="C55:C57">
    <cfRule type="cellIs" dxfId="42" priority="54" operator="equal">
      <formula>"+"</formula>
    </cfRule>
  </conditionalFormatting>
  <conditionalFormatting sqref="C58:C60">
    <cfRule type="cellIs" dxfId="41" priority="53" operator="equal">
      <formula>"+"</formula>
    </cfRule>
  </conditionalFormatting>
  <conditionalFormatting sqref="C61:C63">
    <cfRule type="cellIs" dxfId="40" priority="52" operator="equal">
      <formula>"+"</formula>
    </cfRule>
  </conditionalFormatting>
  <conditionalFormatting sqref="C64:C66">
    <cfRule type="cellIs" dxfId="39" priority="51" operator="equal">
      <formula>"+"</formula>
    </cfRule>
  </conditionalFormatting>
  <conditionalFormatting sqref="C67:C72">
    <cfRule type="cellIs" dxfId="38" priority="50" operator="equal">
      <formula>"+"</formula>
    </cfRule>
  </conditionalFormatting>
  <conditionalFormatting sqref="C73:C78">
    <cfRule type="cellIs" dxfId="37" priority="49" operator="equal">
      <formula>"+"</formula>
    </cfRule>
  </conditionalFormatting>
  <conditionalFormatting sqref="C8:C45">
    <cfRule type="cellIs" dxfId="36" priority="48" operator="equal">
      <formula>"+"</formula>
    </cfRule>
  </conditionalFormatting>
  <conditionalFormatting sqref="C7">
    <cfRule type="cellIs" dxfId="35" priority="47" operator="equal">
      <formula>"+"</formula>
    </cfRule>
  </conditionalFormatting>
  <conditionalFormatting sqref="AO73:BQ78 G14:BA14 F13:BA13 S12:BQ12 S32:AU32 F37:O37 AK58:BQ60 AK64:BQ66 F7:BQ11 F15:BA15 BH13:BQ15 R18:BA18 F17:BA17 F16:BQ16 BB17:BQ18 AM67:BQ72 F30:Q30 F19:BQ28 R33:AU33 R29:BQ31 AV32:BQ33 F35:Q35 F34:AG34 R35:AG36 AH34:BQ36 AJ37:BQ42 AG43:BQ45 AH46:BQ48 AM49:BQ51 AI52:BQ57 AO61:BQ63">
    <cfRule type="cellIs" dxfId="34" priority="35" operator="equal">
      <formula>"+"</formula>
    </cfRule>
  </conditionalFormatting>
  <conditionalFormatting sqref="D14:F14">
    <cfRule type="cellIs" dxfId="33" priority="34" operator="equal">
      <formula>"+"</formula>
    </cfRule>
  </conditionalFormatting>
  <conditionalFormatting sqref="E12:R12">
    <cfRule type="cellIs" dxfId="32" priority="33" operator="equal">
      <formula>"+"</formula>
    </cfRule>
  </conditionalFormatting>
  <conditionalFormatting sqref="D18:Q18">
    <cfRule type="cellIs" dxfId="31" priority="32" operator="equal">
      <formula>"+"</formula>
    </cfRule>
  </conditionalFormatting>
  <conditionalFormatting sqref="E29:Q29">
    <cfRule type="cellIs" dxfId="30" priority="31" operator="equal">
      <formula>"+"</formula>
    </cfRule>
  </conditionalFormatting>
  <conditionalFormatting sqref="R32">
    <cfRule type="cellIs" dxfId="29" priority="30" operator="equal">
      <formula>"+"</formula>
    </cfRule>
  </conditionalFormatting>
  <conditionalFormatting sqref="F38:I38 K38:O38">
    <cfRule type="cellIs" dxfId="28" priority="29" operator="equal">
      <formula>"+"</formula>
    </cfRule>
  </conditionalFormatting>
  <conditionalFormatting sqref="F39:I39 K39:O39">
    <cfRule type="cellIs" dxfId="27" priority="28" operator="equal">
      <formula>"+"</formula>
    </cfRule>
  </conditionalFormatting>
  <conditionalFormatting sqref="E36:Q36">
    <cfRule type="cellIs" dxfId="26" priority="27" operator="equal">
      <formula>"+"</formula>
    </cfRule>
  </conditionalFormatting>
  <conditionalFormatting sqref="R41:V41 E40:AI40">
    <cfRule type="cellIs" dxfId="25" priority="26" operator="equal">
      <formula>"+"</formula>
    </cfRule>
  </conditionalFormatting>
  <conditionalFormatting sqref="E41:Q41 W41:AI41">
    <cfRule type="cellIs" dxfId="24" priority="25" operator="equal">
      <formula>"+"</formula>
    </cfRule>
  </conditionalFormatting>
  <conditionalFormatting sqref="E42:AI42">
    <cfRule type="cellIs" dxfId="23" priority="24" operator="equal">
      <formula>"+"</formula>
    </cfRule>
  </conditionalFormatting>
  <conditionalFormatting sqref="E43:AF45">
    <cfRule type="cellIs" dxfId="22" priority="23" operator="equal">
      <formula>"+"</formula>
    </cfRule>
  </conditionalFormatting>
  <conditionalFormatting sqref="D46:AG48">
    <cfRule type="cellIs" dxfId="21" priority="22" operator="equal">
      <formula>"+"</formula>
    </cfRule>
  </conditionalFormatting>
  <conditionalFormatting sqref="D49:AL51">
    <cfRule type="cellIs" dxfId="20" priority="21" operator="equal">
      <formula>"+"</formula>
    </cfRule>
  </conditionalFormatting>
  <conditionalFormatting sqref="D52:AH54">
    <cfRule type="cellIs" dxfId="19" priority="20" operator="equal">
      <formula>"+"</formula>
    </cfRule>
  </conditionalFormatting>
  <conditionalFormatting sqref="D55:AH57">
    <cfRule type="cellIs" dxfId="18" priority="19" operator="equal">
      <formula>"+"</formula>
    </cfRule>
  </conditionalFormatting>
  <conditionalFormatting sqref="D58:AJ60">
    <cfRule type="cellIs" dxfId="17" priority="18" operator="equal">
      <formula>"+"</formula>
    </cfRule>
  </conditionalFormatting>
  <conditionalFormatting sqref="D61:AN63">
    <cfRule type="cellIs" dxfId="16" priority="17" operator="equal">
      <formula>"+"</formula>
    </cfRule>
  </conditionalFormatting>
  <conditionalFormatting sqref="D64:AJ66">
    <cfRule type="cellIs" dxfId="15" priority="16" operator="equal">
      <formula>"+"</formula>
    </cfRule>
  </conditionalFormatting>
  <conditionalFormatting sqref="D67:AL72">
    <cfRule type="cellIs" dxfId="14" priority="15" operator="equal">
      <formula>"+"</formula>
    </cfRule>
  </conditionalFormatting>
  <conditionalFormatting sqref="D73:AN78">
    <cfRule type="cellIs" dxfId="13" priority="14" operator="equal">
      <formula>"+"</formula>
    </cfRule>
  </conditionalFormatting>
  <conditionalFormatting sqref="BB13:BC15">
    <cfRule type="cellIs" dxfId="12" priority="13" operator="equal">
      <formula>"+"</formula>
    </cfRule>
  </conditionalFormatting>
  <conditionalFormatting sqref="BD13:BE15">
    <cfRule type="cellIs" dxfId="11" priority="12" operator="equal">
      <formula>"+"</formula>
    </cfRule>
  </conditionalFormatting>
  <conditionalFormatting sqref="BF13:BG15">
    <cfRule type="cellIs" dxfId="10" priority="11" operator="equal">
      <formula>"+"</formula>
    </cfRule>
  </conditionalFormatting>
  <conditionalFormatting sqref="F31:Q32">
    <cfRule type="cellIs" dxfId="9" priority="10" operator="equal">
      <formula>"+"</formula>
    </cfRule>
  </conditionalFormatting>
  <conditionalFormatting sqref="F33:Q33">
    <cfRule type="cellIs" dxfId="8" priority="9" operator="equal">
      <formula>"+"</formula>
    </cfRule>
  </conditionalFormatting>
  <conditionalFormatting sqref="J38">
    <cfRule type="cellIs" dxfId="7" priority="8" operator="equal">
      <formula>"+"</formula>
    </cfRule>
  </conditionalFormatting>
  <conditionalFormatting sqref="J39">
    <cfRule type="cellIs" dxfId="6" priority="7" operator="equal">
      <formula>"+"</formula>
    </cfRule>
  </conditionalFormatting>
  <conditionalFormatting sqref="P37:AI37">
    <cfRule type="cellIs" dxfId="5" priority="6" operator="equal">
      <formula>"+"</formula>
    </cfRule>
  </conditionalFormatting>
  <conditionalFormatting sqref="P38:AI38">
    <cfRule type="cellIs" dxfId="4" priority="5" operator="equal">
      <formula>"+"</formula>
    </cfRule>
  </conditionalFormatting>
  <conditionalFormatting sqref="P39:AI39">
    <cfRule type="cellIs" dxfId="3" priority="4" operator="equal">
      <formula>"+"</formula>
    </cfRule>
  </conditionalFormatting>
  <conditionalFormatting sqref="D7:BQ84">
    <cfRule type="cellIs" dxfId="2" priority="1" operator="equal">
      <formula>"+"</formula>
    </cfRule>
    <cfRule type="cellIs" dxfId="1" priority="2" operator="equal">
      <formula>"@"</formula>
    </cfRule>
    <cfRule type="cellIs" dxfId="0" priority="3" operator="equal">
      <formula>"+"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Program">
                <anchor moveWithCells="1" sizeWithCells="1">
                  <from>
                    <xdr:col>69</xdr:col>
                    <xdr:colOff>590550</xdr:colOff>
                    <xdr:row>2</xdr:row>
                    <xdr:rowOff>66675</xdr:rowOff>
                  </from>
                  <to>
                    <xdr:col>70</xdr:col>
                    <xdr:colOff>571500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D9EF5-7634-48B5-9A24-54F58889C646}">
  <sheetPr codeName="Sheet4"/>
  <dimension ref="A1:BQ83"/>
  <sheetViews>
    <sheetView rightToLeft="1" zoomScaleNormal="100" workbookViewId="0">
      <pane ySplit="1" topLeftCell="A2" activePane="bottomLeft" state="frozen"/>
      <selection pane="bottomLeft" activeCell="C1" sqref="C1:C1048576"/>
    </sheetView>
  </sheetViews>
  <sheetFormatPr defaultRowHeight="18" x14ac:dyDescent="0.45"/>
  <cols>
    <col min="1" max="1" width="2" style="19" customWidth="1"/>
    <col min="2" max="2" width="2.42578125" style="19" customWidth="1"/>
    <col min="3" max="3" width="9.140625" style="19" customWidth="1"/>
    <col min="4" max="4" width="2.42578125" style="19" customWidth="1"/>
    <col min="5" max="5" width="3" style="19" customWidth="1"/>
    <col min="6" max="11" width="1.85546875" style="19" customWidth="1"/>
    <col min="12" max="13" width="1.85546875" style="21" customWidth="1"/>
    <col min="14" max="15" width="1.85546875" style="19" customWidth="1"/>
    <col min="16" max="17" width="1.85546875" style="21" customWidth="1"/>
    <col min="18" max="25" width="1.85546875" style="19" customWidth="1"/>
    <col min="26" max="27" width="1.85546875" style="21" customWidth="1"/>
    <col min="28" max="37" width="1.85546875" style="19" customWidth="1"/>
    <col min="38" max="39" width="1.85546875" style="31" customWidth="1"/>
    <col min="40" max="41" width="1.85546875" style="21" customWidth="1"/>
    <col min="42" max="47" width="1.85546875" style="19" customWidth="1"/>
    <col min="48" max="53" width="1.85546875" style="31" customWidth="1"/>
    <col min="54" max="55" width="1.85546875" style="21" customWidth="1"/>
    <col min="56" max="65" width="1.85546875" style="19" customWidth="1"/>
    <col min="66" max="67" width="1.85546875" style="31" customWidth="1"/>
    <col min="68" max="68" width="3.28515625" style="19" customWidth="1"/>
    <col min="69" max="16384" width="9.140625" style="19"/>
  </cols>
  <sheetData>
    <row r="1" spans="1:69" s="20" customFormat="1" ht="36.75" customHeight="1" x14ac:dyDescent="0.4">
      <c r="B1" s="116" t="s">
        <v>0</v>
      </c>
      <c r="C1" s="118" t="s">
        <v>33</v>
      </c>
      <c r="D1" s="116" t="s">
        <v>26</v>
      </c>
      <c r="E1" s="116" t="s">
        <v>27</v>
      </c>
      <c r="F1" s="90" t="str">
        <f>'اسفند 402'!F5:G5</f>
        <v>4 شنبه</v>
      </c>
      <c r="G1" s="91"/>
      <c r="H1" s="90" t="str">
        <f>'اسفند 402'!H5:I5</f>
        <v>5 شنبه</v>
      </c>
      <c r="I1" s="91"/>
      <c r="J1" s="90" t="str">
        <f>'اسفند 402'!J5:K5</f>
        <v>جمعه</v>
      </c>
      <c r="K1" s="91"/>
      <c r="L1" s="90" t="str">
        <f>'اسفند 402'!L5:M5</f>
        <v>شنبه</v>
      </c>
      <c r="M1" s="91"/>
      <c r="N1" s="90" t="str">
        <f>'اسفند 402'!N5:O5</f>
        <v>1 شنبه</v>
      </c>
      <c r="O1" s="91"/>
      <c r="P1" s="90" t="str">
        <f>'اسفند 402'!P5:Q5</f>
        <v>2 شنبه</v>
      </c>
      <c r="Q1" s="91"/>
      <c r="R1" s="90" t="str">
        <f>'اسفند 402'!R5:S5</f>
        <v>3 شنبه</v>
      </c>
      <c r="S1" s="91"/>
      <c r="T1" s="90" t="str">
        <f>'اسفند 402'!T5:U5</f>
        <v>4 شنبه</v>
      </c>
      <c r="U1" s="91"/>
      <c r="V1" s="90" t="str">
        <f>'اسفند 402'!V5:W5</f>
        <v>5 شنبه</v>
      </c>
      <c r="W1" s="91"/>
      <c r="X1" s="90" t="str">
        <f>'اسفند 402'!X5:Y5</f>
        <v>جمعه</v>
      </c>
      <c r="Y1" s="91"/>
      <c r="Z1" s="90" t="str">
        <f>'اسفند 402'!Z5:AA5</f>
        <v>شنبه</v>
      </c>
      <c r="AA1" s="91"/>
      <c r="AB1" s="90" t="str">
        <f>'اسفند 402'!AB5:AC5</f>
        <v>1 شنبه</v>
      </c>
      <c r="AC1" s="91"/>
      <c r="AD1" s="90" t="str">
        <f>'اسفند 402'!AD5:AE5</f>
        <v>2 شنبه</v>
      </c>
      <c r="AE1" s="91"/>
      <c r="AF1" s="90" t="str">
        <f>'اسفند 402'!AF5:AG5</f>
        <v>3 شنبه</v>
      </c>
      <c r="AG1" s="91"/>
      <c r="AH1" s="90" t="str">
        <f>'اسفند 402'!AH5:AI5</f>
        <v>4 شنبه</v>
      </c>
      <c r="AI1" s="91"/>
      <c r="AJ1" s="90" t="str">
        <f>'اسفند 402'!AJ5:AK5</f>
        <v>5 شنبه</v>
      </c>
      <c r="AK1" s="91"/>
      <c r="AL1" s="94" t="str">
        <f>'اسفند 402'!AL5:AM5</f>
        <v>جمعه</v>
      </c>
      <c r="AM1" s="95"/>
      <c r="AN1" s="90" t="str">
        <f>'اسفند 402'!AN5:AO5</f>
        <v>شنبه</v>
      </c>
      <c r="AO1" s="91"/>
      <c r="AP1" s="90" t="str">
        <f>'اسفند 402'!AP5:AQ5</f>
        <v>1شنبه</v>
      </c>
      <c r="AQ1" s="91"/>
      <c r="AR1" s="90" t="str">
        <f>'اسفند 402'!AR5:AS5</f>
        <v>2 شنبه</v>
      </c>
      <c r="AS1" s="91"/>
      <c r="AT1" s="90" t="str">
        <f>'اسفند 402'!AT5:AU5</f>
        <v>3 شنبه</v>
      </c>
      <c r="AU1" s="91"/>
      <c r="AV1" s="94" t="str">
        <f>'اسفند 402'!AV5:AW5</f>
        <v>4 شنبه</v>
      </c>
      <c r="AW1" s="95"/>
      <c r="AX1" s="94" t="str">
        <f>'اسفند 402'!AX5:AY5</f>
        <v>5 شنبه</v>
      </c>
      <c r="AY1" s="95"/>
      <c r="AZ1" s="94" t="str">
        <f>'اسفند 402'!AZ5:BA5</f>
        <v>جمعه</v>
      </c>
      <c r="BA1" s="95"/>
      <c r="BB1" s="90" t="str">
        <f>'اسفند 402'!BB5:BC5</f>
        <v>شنبه</v>
      </c>
      <c r="BC1" s="91"/>
      <c r="BD1" s="90" t="str">
        <f>'اسفند 402'!BD5:BE5</f>
        <v>1 شنبه</v>
      </c>
      <c r="BE1" s="91"/>
      <c r="BF1" s="90" t="str">
        <f>'اسفند 402'!BF5:BG5</f>
        <v>2 شنبه</v>
      </c>
      <c r="BG1" s="91"/>
      <c r="BH1" s="90" t="str">
        <f>'اسفند 402'!BH5:BI5</f>
        <v>3 شنبه</v>
      </c>
      <c r="BI1" s="91"/>
      <c r="BJ1" s="90" t="str">
        <f>'اسفند 402'!BJ5:BK5</f>
        <v>4 شنبه</v>
      </c>
      <c r="BK1" s="91"/>
      <c r="BL1" s="90" t="str">
        <f>'اسفند 402'!BL5:BM5</f>
        <v>5 شنبه</v>
      </c>
      <c r="BM1" s="91"/>
      <c r="BN1" s="94" t="str">
        <f>'اسفند 402'!BN5:BO5</f>
        <v>جمعه</v>
      </c>
      <c r="BO1" s="95"/>
      <c r="BP1" s="120" t="s">
        <v>32</v>
      </c>
      <c r="BQ1" s="30"/>
    </row>
    <row r="2" spans="1:69" x14ac:dyDescent="0.45">
      <c r="B2" s="117"/>
      <c r="C2" s="119"/>
      <c r="D2" s="117"/>
      <c r="E2" s="117"/>
      <c r="F2" s="109">
        <v>1</v>
      </c>
      <c r="G2" s="110"/>
      <c r="H2" s="109">
        <v>2</v>
      </c>
      <c r="I2" s="110"/>
      <c r="J2" s="109">
        <v>3</v>
      </c>
      <c r="K2" s="110"/>
      <c r="L2" s="109">
        <v>4</v>
      </c>
      <c r="M2" s="110"/>
      <c r="N2" s="109">
        <v>5</v>
      </c>
      <c r="O2" s="110"/>
      <c r="P2" s="109">
        <v>6</v>
      </c>
      <c r="Q2" s="110"/>
      <c r="R2" s="109">
        <v>7</v>
      </c>
      <c r="S2" s="110"/>
      <c r="T2" s="109">
        <v>8</v>
      </c>
      <c r="U2" s="110"/>
      <c r="V2" s="109">
        <v>9</v>
      </c>
      <c r="W2" s="110"/>
      <c r="X2" s="109">
        <v>10</v>
      </c>
      <c r="Y2" s="110"/>
      <c r="Z2" s="109">
        <v>11</v>
      </c>
      <c r="AA2" s="110"/>
      <c r="AB2" s="109">
        <v>12</v>
      </c>
      <c r="AC2" s="110"/>
      <c r="AD2" s="109">
        <v>13</v>
      </c>
      <c r="AE2" s="110"/>
      <c r="AF2" s="109">
        <v>14</v>
      </c>
      <c r="AG2" s="110"/>
      <c r="AH2" s="109">
        <v>15</v>
      </c>
      <c r="AI2" s="110"/>
      <c r="AJ2" s="109">
        <v>16</v>
      </c>
      <c r="AK2" s="110"/>
      <c r="AL2" s="107">
        <v>17</v>
      </c>
      <c r="AM2" s="108"/>
      <c r="AN2" s="109">
        <v>18</v>
      </c>
      <c r="AO2" s="110"/>
      <c r="AP2" s="109">
        <v>19</v>
      </c>
      <c r="AQ2" s="110"/>
      <c r="AR2" s="109">
        <v>20</v>
      </c>
      <c r="AS2" s="110"/>
      <c r="AT2" s="109">
        <v>21</v>
      </c>
      <c r="AU2" s="110"/>
      <c r="AV2" s="107">
        <v>22</v>
      </c>
      <c r="AW2" s="108"/>
      <c r="AX2" s="107">
        <v>23</v>
      </c>
      <c r="AY2" s="108"/>
      <c r="AZ2" s="107">
        <v>24</v>
      </c>
      <c r="BA2" s="108"/>
      <c r="BB2" s="109">
        <v>25</v>
      </c>
      <c r="BC2" s="110"/>
      <c r="BD2" s="109">
        <v>26</v>
      </c>
      <c r="BE2" s="110"/>
      <c r="BF2" s="109">
        <v>27</v>
      </c>
      <c r="BG2" s="110"/>
      <c r="BH2" s="109">
        <v>28</v>
      </c>
      <c r="BI2" s="110"/>
      <c r="BJ2" s="109">
        <v>29</v>
      </c>
      <c r="BK2" s="110"/>
      <c r="BL2" s="109">
        <v>30</v>
      </c>
      <c r="BM2" s="110"/>
      <c r="BN2" s="107">
        <v>31</v>
      </c>
      <c r="BO2" s="108"/>
      <c r="BP2" s="121"/>
    </row>
    <row r="3" spans="1:69" s="32" customFormat="1" ht="6" customHeight="1" x14ac:dyDescent="0.25">
      <c r="A3" s="88"/>
      <c r="B3" s="83">
        <v>1</v>
      </c>
      <c r="C3" s="83" t="str">
        <f>'اسفند 402'!B7</f>
        <v>x1</v>
      </c>
      <c r="D3" s="83" t="s">
        <v>28</v>
      </c>
      <c r="E3" s="83">
        <v>9.5</v>
      </c>
      <c r="F3" s="92" t="str">
        <f>CONCATENATE( IF('اسفند 402'!F7=1,"ص‌‌",""),IF('اسفند 402'!G7=1,"ص‌'",""),IF('اسفند 402'!F8=1,"ع‌",""),IF('اسفند 402'!G8=1,"ع‌",""),IF('اسفند 402'!F9=1,"ش‌",""),IF('اسفند 402'!G9=1,"ش'‌",""), IF('اسفند 402'!F7="*","",""), IF('اسفند 402'!F7="@","*",""))</f>
        <v/>
      </c>
      <c r="G3" s="92"/>
      <c r="H3" s="92" t="str">
        <f>CONCATENATE( IF('اسفند 402'!H7=1,"ص‌‌",""),IF('اسفند 402'!I7=1,"ص‌'",""),IF('اسفند 402'!H8=1,"ع‌",""),IF('اسفند 402'!I8=1,"ع‌",""),IF('اسفند 402'!H9=1,"ش‌",""),IF('اسفند 402'!I9=1,"ش'‌",""), IF('اسفند 402'!H7="*","",""), IF('اسفند 402'!H7="@","*",""))</f>
        <v/>
      </c>
      <c r="I3" s="92"/>
      <c r="J3" s="92" t="str">
        <f>CONCATENATE( IF('اسفند 402'!J7=1,"ص‌‌",""),IF('اسفند 402'!K7=1,"ص‌'",""),IF('اسفند 402'!J8=1,"ع‌",""),IF('اسفند 402'!K8=1,"ع‌",""),IF('اسفند 402'!J9=1,"ش‌",""),IF('اسفند 402'!K9=1,"ش'‌",""), IF('اسفند 402'!J7="*","",""), IF('اسفند 402'!J7="@","*",""))</f>
        <v/>
      </c>
      <c r="K3" s="92"/>
      <c r="L3" s="92" t="str">
        <f>CONCATENATE( IF('اسفند 402'!L7=1,"ص‌‌",""),IF('اسفند 402'!M7=1,"ص‌'",""),IF('اسفند 402'!L8=1,"ع‌",""),IF('اسفند 402'!M8=1,"ع‌",""),IF('اسفند 402'!L9=1,"ش‌",""),IF('اسفند 402'!M9=1,"ش'‌",""), IF('اسفند 402'!L7="*","",""), IF('اسفند 402'!L7="@","*",""))</f>
        <v/>
      </c>
      <c r="M3" s="92"/>
      <c r="N3" s="92" t="str">
        <f>CONCATENATE( IF('اسفند 402'!N7=1,"ص‌‌",""),IF('اسفند 402'!O7=1,"ص‌'",""),IF('اسفند 402'!N8=1,"ع‌",""),IF('اسفند 402'!O8=1,"ع‌",""),IF('اسفند 402'!N9=1,"ش‌",""),IF('اسفند 402'!O9=1,"ش'‌",""), IF('اسفند 402'!N7="*","",""), IF('اسفند 402'!N7="@","*",""))</f>
        <v/>
      </c>
      <c r="O3" s="92"/>
      <c r="P3" s="92" t="str">
        <f>CONCATENATE( IF('اسفند 402'!P7=1,"ص‌‌",""),IF('اسفند 402'!Q7=1,"ص‌'",""),IF('اسفند 402'!P8=1,"ع‌",""),IF('اسفند 402'!Q8=1,"ع‌",""),IF('اسفند 402'!P9=1,"ش‌",""),IF('اسفند 402'!Q9=1,"ش'‌",""), IF('اسفند 402'!P7="*","",""), IF('اسفند 402'!P7="@","*",""))</f>
        <v/>
      </c>
      <c r="Q3" s="92"/>
      <c r="R3" s="92" t="str">
        <f>CONCATENATE( IF('اسفند 402'!R7=1,"ص‌‌",""),IF('اسفند 402'!S7=1,"ص‌'",""),IF('اسفند 402'!R8=1,"ع‌",""),IF('اسفند 402'!S8=1,"ع‌",""),IF('اسفند 402'!R9=1,"ش‌",""),IF('اسفند 402'!S9=1,"ش'‌",""), IF('اسفند 402'!R7="*","",""), IF('اسفند 402'!R7="@","*",""))</f>
        <v>ص‌‌ع‌</v>
      </c>
      <c r="S3" s="92"/>
      <c r="T3" s="92" t="str">
        <f>CONCATENATE( IF('اسفند 402'!T7=1,"ص‌‌",""),IF('اسفند 402'!U7=1,"ص‌'",""),IF('اسفند 402'!T8=1,"ع‌",""),IF('اسفند 402'!U8=1,"ع‌",""),IF('اسفند 402'!T9=1,"ش‌",""),IF('اسفند 402'!U9=1,"ش'‌",""), IF('اسفند 402'!T7="*","",""), IF('اسفند 402'!T7="@","*",""))</f>
        <v>ص‌‌ع‌</v>
      </c>
      <c r="U3" s="92"/>
      <c r="V3" s="92" t="str">
        <f>CONCATENATE( IF('اسفند 402'!V7=1,"ص‌‌",""),IF('اسفند 402'!W7=1,"ص‌'",""),IF('اسفند 402'!V8=1,"ع‌",""),IF('اسفند 402'!W8=1,"ع‌",""),IF('اسفند 402'!V9=1,"ش‌",""),IF('اسفند 402'!W9=1,"ش'‌",""), IF('اسفند 402'!V7="*","",""), IF('اسفند 402'!V7="@","*",""))</f>
        <v>ص‌‌ع‌</v>
      </c>
      <c r="W3" s="92"/>
      <c r="X3" s="92" t="str">
        <f>CONCATENATE( IF('اسفند 402'!X7=1,"ص‌‌",""),IF('اسفند 402'!Y7=1,"ص‌'",""),IF('اسفند 402'!X8=1,"ع‌",""),IF('اسفند 402'!Y8=1,"ع‌",""),IF('اسفند 402'!X9=1,"ش‌",""),IF('اسفند 402'!Y9=1,"ش'‌",""), IF('اسفند 402'!X7="*","",""), IF('اسفند 402'!X7="@","*",""))</f>
        <v>ع‌ش‌</v>
      </c>
      <c r="Y3" s="92"/>
      <c r="Z3" s="92" t="str">
        <f>CONCATENATE( IF('اسفند 402'!Z7=1,"ص‌‌",""),IF('اسفند 402'!AA7=1,"ص‌'",""),IF('اسفند 402'!Z8=1,"ع‌",""),IF('اسفند 402'!AA8=1,"ع‌",""),IF('اسفند 402'!Z9=1,"ش‌",""),IF('اسفند 402'!AA9=1,"ش'‌",""), IF('اسفند 402'!Z7="*","",""), IF('اسفند 402'!Z7="@","*",""))</f>
        <v/>
      </c>
      <c r="AA3" s="92"/>
      <c r="AB3" s="92" t="str">
        <f>CONCATENATE( IF('اسفند 402'!AB7=1,"ص‌‌",""),IF('اسفند 402'!AC7=1,"ص‌'",""),IF('اسفند 402'!AB8=1,"ع‌",""),IF('اسفند 402'!AC8=1,"ع‌",""),IF('اسفند 402'!AB9=1,"ش‌",""),IF('اسفند 402'!AC9=1,"ش'‌",""), IF('اسفند 402'!AB7="*","",""), IF('اسفند 402'!AB7="@","*",""))</f>
        <v>ص‌‌ع‌</v>
      </c>
      <c r="AC3" s="92"/>
      <c r="AD3" s="92" t="str">
        <f>CONCATENATE( IF('اسفند 402'!AD7=1,"ص‌‌",""),IF('اسفند 402'!AE7=1,"ص‌'",""),IF('اسفند 402'!AD8=1,"ع‌",""),IF('اسفند 402'!AE8=1,"ع‌",""),IF('اسفند 402'!AD9=1,"ش‌",""),IF('اسفند 402'!AE9=1,"ش'‌",""), IF('اسفند 402'!AD7="*","",""), IF('اسفند 402'!AD7="@","*",""))</f>
        <v/>
      </c>
      <c r="AE3" s="92"/>
      <c r="AF3" s="92" t="str">
        <f>CONCATENATE( IF('اسفند 402'!AF7=1,"ص‌‌",""),IF('اسفند 402'!AG7=1,"ص‌'",""),IF('اسفند 402'!AF8=1,"ع‌",""),IF('اسفند 402'!AG8=1,"ع‌",""),IF('اسفند 402'!AF9=1,"ش‌",""),IF('اسفند 402'!AG9=1,"ش'‌",""), IF('اسفند 402'!AF7="*","",""), IF('اسفند 402'!AF7="@","*",""))</f>
        <v>ش‌</v>
      </c>
      <c r="AG3" s="92"/>
      <c r="AH3" s="92" t="str">
        <f>CONCATENATE( IF('اسفند 402'!AH7=1,"ص‌‌",""),IF('اسفند 402'!AI7=1,"ص‌'",""),IF('اسفند 402'!AH8=1,"ع‌",""),IF('اسفند 402'!AI8=1,"ع‌",""),IF('اسفند 402'!AH9=1,"ش‌",""),IF('اسفند 402'!AI9=1,"ش'‌",""), IF('اسفند 402'!AH7="*","",""), IF('اسفند 402'!AH7="@","*",""))</f>
        <v/>
      </c>
      <c r="AI3" s="92"/>
      <c r="AJ3" s="92" t="str">
        <f>CONCATENATE( IF('اسفند 402'!AJ7=1,"ص‌‌",""),IF('اسفند 402'!AK7=1,"ص‌'",""),IF('اسفند 402'!AJ8=1,"ع‌",""),IF('اسفند 402'!AK8=1,"ع‌",""),IF('اسفند 402'!AJ9=1,"ش‌",""),IF('اسفند 402'!AK9=1,"ش'‌",""), IF('اسفند 402'!AJ7="*","",""), IF('اسفند 402'!AJ7="@","*",""))</f>
        <v>ش‌</v>
      </c>
      <c r="AK3" s="92"/>
      <c r="AL3" s="93" t="str">
        <f>CONCATENATE( IF('اسفند 402'!AL7=1,"ص‌‌",""),IF('اسفند 402'!AM7=1,"ص‌'",""),IF('اسفند 402'!AL8=1,"ع‌",""),IF('اسفند 402'!AM8=1,"ع‌",""),IF('اسفند 402'!AL9=1,"ش‌",""),IF('اسفند 402'!AM9=1,"ش'‌",""), IF('اسفند 402'!AL7="*","",""), IF('اسفند 402'!AL7="@","*",""))</f>
        <v/>
      </c>
      <c r="AM3" s="93"/>
      <c r="AN3" s="92" t="str">
        <f>CONCATENATE( IF('اسفند 402'!AN7=1,"ص‌‌",""),IF('اسفند 402'!AO7=1,"ص‌'",""),IF('اسفند 402'!AN8=1,"ع‌",""),IF('اسفند 402'!AO8=1,"ع‌",""),IF('اسفند 402'!AN9=1,"ش‌",""),IF('اسفند 402'!AO9=1,"ش'‌",""), IF('اسفند 402'!AN7="*","",""), IF('اسفند 402'!AN7="@","*",""))</f>
        <v>ع‌</v>
      </c>
      <c r="AO3" s="92"/>
      <c r="AP3" s="92" t="str">
        <f>CONCATENATE( IF('اسفند 402'!AP7=1,"ص‌‌",""),IF('اسفند 402'!AQ7=1,"ص‌'",""),IF('اسفند 402'!AP8=1,"ع‌",""),IF('اسفند 402'!AQ8=1,"ع‌",""),IF('اسفند 402'!AP9=1,"ش‌",""),IF('اسفند 402'!AQ9=1,"ش'‌",""), IF('اسفند 402'!AP7="*","",""), IF('اسفند 402'!AP7="@","*",""))</f>
        <v>*</v>
      </c>
      <c r="AQ3" s="92"/>
      <c r="AR3" s="92" t="str">
        <f>CONCATENATE( IF('اسفند 402'!AR7=1,"ص‌‌",""),IF('اسفند 402'!AS7=1,"ص‌'",""),IF('اسفند 402'!AR8=1,"ع‌",""),IF('اسفند 402'!AS8=1,"ع‌",""),IF('اسفند 402'!AR9=1,"ش‌",""),IF('اسفند 402'!AS9=1,"ش'‌",""), IF('اسفند 402'!AR7="*","",""), IF('اسفند 402'!AR7="@","*",""))</f>
        <v/>
      </c>
      <c r="AS3" s="92"/>
      <c r="AT3" s="92" t="str">
        <f>CONCATENATE( IF('اسفند 402'!AT7=1,"ص‌‌",""),IF('اسفند 402'!AU7=1,"ص‌'",""),IF('اسفند 402'!AT8=1,"ع‌",""),IF('اسفند 402'!AU8=1,"ع‌",""),IF('اسفند 402'!AT9=1,"ش‌",""),IF('اسفند 402'!AU9=1,"ش'‌",""), IF('اسفند 402'!AT7="*","",""), IF('اسفند 402'!AT7="@","*",""))</f>
        <v>ع‌ش‌</v>
      </c>
      <c r="AU3" s="92"/>
      <c r="AV3" s="93" t="str">
        <f>CONCATENATE( IF('اسفند 402'!AV7=1,"ص‌‌",""),IF('اسفند 402'!AW7=1,"ص‌'",""),IF('اسفند 402'!AV8=1,"ع‌",""),IF('اسفند 402'!AW8=1,"ع‌",""),IF('اسفند 402'!AV9=1,"ش‌",""),IF('اسفند 402'!AW9=1,"ش'‌",""), IF('اسفند 402'!AV7="*","",""), IF('اسفند 402'!AV7="@","*",""))</f>
        <v/>
      </c>
      <c r="AW3" s="93"/>
      <c r="AX3" s="93" t="str">
        <f>CONCATENATE( IF('اسفند 402'!AX7=1,"ص‌‌",""),IF('اسفند 402'!AY7=1,"ص‌'",""),IF('اسفند 402'!AX8=1,"ع‌",""),IF('اسفند 402'!AY8=1,"ع‌",""),IF('اسفند 402'!AX9=1,"ش‌",""),IF('اسفند 402'!AY9=1,"ش'‌",""), IF('اسفند 402'!AX7="*","",""), IF('اسفند 402'!AX7="@","*",""))</f>
        <v/>
      </c>
      <c r="AY3" s="93"/>
      <c r="AZ3" s="93" t="str">
        <f>CONCATENATE( IF('اسفند 402'!AZ7=1,"ص‌‌",""),IF('اسفند 402'!BA7=1,"ص‌'",""),IF('اسفند 402'!AZ8=1,"ع‌",""),IF('اسفند 402'!BA8=1,"ع‌",""),IF('اسفند 402'!AZ9=1,"ش‌",""),IF('اسفند 402'!BA9=1,"ش'‌",""), IF('اسفند 402'!AZ7="*","",""), IF('اسفند 402'!AZ7="@","*",""))</f>
        <v>ع‌</v>
      </c>
      <c r="BA3" s="93"/>
      <c r="BB3" s="92" t="str">
        <f>CONCATENATE( IF('اسفند 402'!BB7=1,"ص‌‌",""),IF('اسفند 402'!BC7=1,"ص‌'",""),IF('اسفند 402'!BB8=1,"ع‌",""),IF('اسفند 402'!BC8=1,"ع‌",""),IF('اسفند 402'!BB9=1,"ش‌",""),IF('اسفند 402'!BC9=1,"ش'‌",""), IF('اسفند 402'!BB7="*","",""), IF('اسفند 402'!BB7="@","*",""))</f>
        <v/>
      </c>
      <c r="BC3" s="92"/>
      <c r="BD3" s="92" t="str">
        <f>CONCATENATE( IF('اسفند 402'!BD7=1,"ص‌‌",""),IF('اسفند 402'!BE7=1,"ص‌'",""),IF('اسفند 402'!BD8=1,"ع‌",""),IF('اسفند 402'!BE8=1,"ع‌",""),IF('اسفند 402'!BD9=1,"ش‌",""),IF('اسفند 402'!BE9=1,"ش'‌",""), IF('اسفند 402'!BD7="*","",""), IF('اسفند 402'!BD7="@","*",""))</f>
        <v/>
      </c>
      <c r="BE3" s="92"/>
      <c r="BF3" s="92" t="str">
        <f>CONCATENATE( IF('اسفند 402'!BF7=1,"ص‌‌",""),IF('اسفند 402'!BG7=1,"ص‌'",""),IF('اسفند 402'!BF8=1,"ع‌",""),IF('اسفند 402'!BG8=1,"ع‌",""),IF('اسفند 402'!BF9=1,"ش‌",""),IF('اسفند 402'!BG9=1,"ش'‌",""), IF('اسفند 402'!BF7="*","",""), IF('اسفند 402'!BF7="@","*",""))</f>
        <v>ع‌</v>
      </c>
      <c r="BG3" s="92"/>
      <c r="BH3" s="92" t="str">
        <f>CONCATENATE( IF('اسفند 402'!BH7=1,"ص‌‌",""),IF('اسفند 402'!BI7=1,"ص‌'",""),IF('اسفند 402'!BH8=1,"ع‌",""),IF('اسفند 402'!BI8=1,"ع‌",""),IF('اسفند 402'!BH9=1,"ش‌",""),IF('اسفند 402'!BI9=1,"ش'‌",""), IF('اسفند 402'!BH7="*","",""), IF('اسفند 402'!BH7="@","*",""))</f>
        <v/>
      </c>
      <c r="BI3" s="92"/>
      <c r="BJ3" s="92" t="str">
        <f>CONCATENATE( IF('اسفند 402'!BJ7=1,"ص‌‌",""),IF('اسفند 402'!BK7=1,"ص‌'",""),IF('اسفند 402'!BJ8=1,"ع‌",""),IF('اسفند 402'!BK8=1,"ع‌",""),IF('اسفند 402'!BJ9=1,"ش‌",""),IF('اسفند 402'!BK9=1,"ش'‌",""), IF('اسفند 402'!BJ7="*","",""), IF('اسفند 402'!BJ7="@","*",""))</f>
        <v/>
      </c>
      <c r="BK3" s="92"/>
      <c r="BL3" s="92" t="str">
        <f>CONCATENATE( IF('اسفند 402'!BL7=1,"ص‌‌",""),IF('اسفند 402'!BM7=1,"ص‌'",""),IF('اسفند 402'!BL8=1,"ع‌",""),IF('اسفند 402'!BM8=1,"ع‌",""),IF('اسفند 402'!BL9=1,"ش‌",""),IF('اسفند 402'!BM9=1,"ش'‌",""), IF('اسفند 402'!BL7="*","",""), IF('اسفند 402'!BL7="@","*",""))</f>
        <v/>
      </c>
      <c r="BM3" s="92"/>
      <c r="BN3" s="93" t="str">
        <f>CONCATENATE( IF('اسفند 402'!BN7=1,"ص‌‌",""),IF('اسفند 402'!BO7=1,"ص‌'",""),IF('اسفند 402'!BN8=1,"ع‌",""),IF('اسفند 402'!BO8=1,"ع‌",""),IF('اسفند 402'!BN9=1,"ش‌",""),IF('اسفند 402'!BO9=1,"ش'‌",""), IF('اسفند 402'!BN7="*","",""), IF('اسفند 402'!BN7="@","*",""))</f>
        <v>ع‌ش‌</v>
      </c>
      <c r="BO3" s="93"/>
      <c r="BP3" s="83">
        <f>'اسفند 402'!C8</f>
        <v>24</v>
      </c>
    </row>
    <row r="4" spans="1:69" s="32" customFormat="1" ht="6" customHeight="1" x14ac:dyDescent="0.25">
      <c r="A4" s="88"/>
      <c r="B4" s="83"/>
      <c r="C4" s="83"/>
      <c r="D4" s="83"/>
      <c r="E4" s="83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3"/>
      <c r="AM4" s="93"/>
      <c r="AN4" s="92"/>
      <c r="AO4" s="92"/>
      <c r="AP4" s="92"/>
      <c r="AQ4" s="92"/>
      <c r="AR4" s="92"/>
      <c r="AS4" s="92"/>
      <c r="AT4" s="92"/>
      <c r="AU4" s="92"/>
      <c r="AV4" s="93"/>
      <c r="AW4" s="93"/>
      <c r="AX4" s="93"/>
      <c r="AY4" s="93"/>
      <c r="AZ4" s="93"/>
      <c r="BA4" s="93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3"/>
      <c r="BO4" s="93"/>
      <c r="BP4" s="83"/>
    </row>
    <row r="5" spans="1:69" s="32" customFormat="1" ht="6" customHeight="1" x14ac:dyDescent="0.25">
      <c r="A5" s="88"/>
      <c r="B5" s="83"/>
      <c r="C5" s="83"/>
      <c r="D5" s="83"/>
      <c r="E5" s="83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3"/>
      <c r="AM5" s="93"/>
      <c r="AN5" s="92"/>
      <c r="AO5" s="92"/>
      <c r="AP5" s="92"/>
      <c r="AQ5" s="92"/>
      <c r="AR5" s="92"/>
      <c r="AS5" s="92"/>
      <c r="AT5" s="92"/>
      <c r="AU5" s="92"/>
      <c r="AV5" s="93"/>
      <c r="AW5" s="93"/>
      <c r="AX5" s="93"/>
      <c r="AY5" s="93"/>
      <c r="AZ5" s="93"/>
      <c r="BA5" s="93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3"/>
      <c r="BO5" s="93"/>
      <c r="BP5" s="83"/>
    </row>
    <row r="6" spans="1:69" s="32" customFormat="1" ht="6" customHeight="1" x14ac:dyDescent="0.25">
      <c r="A6" s="88"/>
      <c r="B6" s="83">
        <v>2</v>
      </c>
      <c r="C6" s="83" t="str">
        <f>'اسفند 402'!B10</f>
        <v>بهاره کرانی</v>
      </c>
      <c r="D6" s="83" t="s">
        <v>28</v>
      </c>
      <c r="E6" s="83">
        <v>8.4</v>
      </c>
      <c r="F6" s="92" t="str">
        <f>CONCATENATE( IF('اسفند 402'!F10=1,"ص‌‌",""),IF('اسفند 402'!G10=1,"ص‌'",""),IF('اسفند 402'!F11=1,"ع‌",""),IF('اسفند 402'!G11=1,"ع‌",""),IF('اسفند 402'!F12=1,"ش‌",""),IF('اسفند 402'!G12=1,"ش'‌",""), IF('اسفند 402'!F10="*","",""), IF('اسفند 402'!F10="@","*",""))</f>
        <v/>
      </c>
      <c r="G6" s="92"/>
      <c r="H6" s="92" t="str">
        <f>CONCATENATE( IF('اسفند 402'!H10=1,"ص‌‌",""),IF('اسفند 402'!I10=1,"ص‌'",""),IF('اسفند 402'!H11=1,"ع‌",""),IF('اسفند 402'!I11=1,"ع‌",""),IF('اسفند 402'!H12=1,"ش‌",""),IF('اسفند 402'!I12=1,"ش'‌",""), IF('اسفند 402'!H10="*","",""), IF('اسفند 402'!H10="@","*",""))</f>
        <v/>
      </c>
      <c r="I6" s="92"/>
      <c r="J6" s="92" t="str">
        <f>CONCATENATE( IF('اسفند 402'!J10=1,"ص‌‌",""),IF('اسفند 402'!K10=1,"ص‌'",""),IF('اسفند 402'!J11=1,"ع‌",""),IF('اسفند 402'!K11=1,"ع‌",""),IF('اسفند 402'!J12=1,"ش‌",""),IF('اسفند 402'!K12=1,"ش'‌",""), IF('اسفند 402'!J10="*","",""), IF('اسفند 402'!J10="@","*",""))</f>
        <v/>
      </c>
      <c r="K6" s="92"/>
      <c r="L6" s="92" t="str">
        <f>CONCATENATE( IF('اسفند 402'!L10=1,"ص‌‌",""),IF('اسفند 402'!M10=1,"ص‌'",""),IF('اسفند 402'!L11=1,"ع‌",""),IF('اسفند 402'!M11=1,"ع‌",""),IF('اسفند 402'!L12=1,"ش‌",""),IF('اسفند 402'!M12=1,"ش'‌",""), IF('اسفند 402'!L10="*","",""), IF('اسفند 402'!L10="@","*",""))</f>
        <v/>
      </c>
      <c r="M6" s="92"/>
      <c r="N6" s="92" t="str">
        <f>CONCATENATE( IF('اسفند 402'!N10=1,"ص‌‌",""),IF('اسفند 402'!O10=1,"ص‌'",""),IF('اسفند 402'!N11=1,"ع‌",""),IF('اسفند 402'!O11=1,"ع‌",""),IF('اسفند 402'!N12=1,"ش‌",""),IF('اسفند 402'!O12=1,"ش'‌",""), IF('اسفند 402'!N10="*","",""), IF('اسفند 402'!N10="@","*",""))</f>
        <v/>
      </c>
      <c r="O6" s="92"/>
      <c r="P6" s="92" t="str">
        <f>CONCATENATE( IF('اسفند 402'!P10=1,"ص‌‌",""),IF('اسفند 402'!Q10=1,"ص‌'",""),IF('اسفند 402'!P11=1,"ع‌",""),IF('اسفند 402'!Q11=1,"ع‌",""),IF('اسفند 402'!P12=1,"ش‌",""),IF('اسفند 402'!Q12=1,"ش'‌",""), IF('اسفند 402'!P10="*","",""), IF('اسفند 402'!P10="@","*",""))</f>
        <v/>
      </c>
      <c r="Q6" s="92"/>
      <c r="R6" s="92" t="str">
        <f>CONCATENATE( IF('اسفند 402'!R10=1,"ص‌‌",""),IF('اسفند 402'!S10=1,"ص‌'",""),IF('اسفند 402'!R11=1,"ع‌",""),IF('اسفند 402'!S11=1,"ع‌",""),IF('اسفند 402'!R12=1,"ش‌",""),IF('اسفند 402'!S12=1,"ش'‌",""), IF('اسفند 402'!R10="*","",""), IF('اسفند 402'!R10="@","*",""))</f>
        <v/>
      </c>
      <c r="S6" s="92"/>
      <c r="T6" s="92" t="str">
        <f>CONCATENATE( IF('اسفند 402'!T10=1,"ص‌‌",""),IF('اسفند 402'!U10=1,"ص‌'",""),IF('اسفند 402'!T11=1,"ع‌",""),IF('اسفند 402'!U11=1,"ع‌",""),IF('اسفند 402'!T12=1,"ش‌",""),IF('اسفند 402'!U12=1,"ش'‌",""), IF('اسفند 402'!T10="*","",""), IF('اسفند 402'!T10="@","*",""))</f>
        <v/>
      </c>
      <c r="U6" s="92"/>
      <c r="V6" s="92" t="str">
        <f>CONCATENATE( IF('اسفند 402'!V10=1,"ص‌‌",""),IF('اسفند 402'!W10=1,"ص‌'",""),IF('اسفند 402'!V11=1,"ع‌",""),IF('اسفند 402'!W11=1,"ع‌",""),IF('اسفند 402'!V12=1,"ش‌",""),IF('اسفند 402'!W12=1,"ش'‌",""), IF('اسفند 402'!V10="*","",""), IF('اسفند 402'!V10="@","*",""))</f>
        <v/>
      </c>
      <c r="W6" s="92"/>
      <c r="X6" s="92" t="str">
        <f>CONCATENATE( IF('اسفند 402'!X10=1,"ص‌‌",""),IF('اسفند 402'!Y10=1,"ص‌'",""),IF('اسفند 402'!X11=1,"ع‌",""),IF('اسفند 402'!Y11=1,"ع‌",""),IF('اسفند 402'!X12=1,"ش‌",""),IF('اسفند 402'!Y12=1,"ش'‌",""), IF('اسفند 402'!X10="*","",""), IF('اسفند 402'!X10="@","*",""))</f>
        <v/>
      </c>
      <c r="Y6" s="92"/>
      <c r="Z6" s="92" t="str">
        <f>CONCATENATE( IF('اسفند 402'!Z10=1,"ص‌‌",""),IF('اسفند 402'!AA10=1,"ص‌'",""),IF('اسفند 402'!Z11=1,"ع‌",""),IF('اسفند 402'!AA11=1,"ع‌",""),IF('اسفند 402'!Z12=1,"ش‌",""),IF('اسفند 402'!AA12=1,"ش'‌",""), IF('اسفند 402'!Z10="*","",""), IF('اسفند 402'!Z10="@","*",""))</f>
        <v/>
      </c>
      <c r="AA6" s="92"/>
      <c r="AB6" s="92" t="str">
        <f>CONCATENATE( IF('اسفند 402'!AB10=1,"ص‌‌",""),IF('اسفند 402'!AC10=1,"ص‌'",""),IF('اسفند 402'!AB11=1,"ع‌",""),IF('اسفند 402'!AC11=1,"ع‌",""),IF('اسفند 402'!AB12=1,"ش‌",""),IF('اسفند 402'!AC12=1,"ش'‌",""), IF('اسفند 402'!AB10="*","",""), IF('اسفند 402'!AB10="@","*",""))</f>
        <v>ش‌</v>
      </c>
      <c r="AC6" s="92"/>
      <c r="AD6" s="92" t="str">
        <f>CONCATENATE( IF('اسفند 402'!AD10=1,"ص‌‌",""),IF('اسفند 402'!AE10=1,"ص‌'",""),IF('اسفند 402'!AD11=1,"ع‌",""),IF('اسفند 402'!AE11=1,"ع‌",""),IF('اسفند 402'!AD12=1,"ش‌",""),IF('اسفند 402'!AE12=1,"ش'‌",""), IF('اسفند 402'!AD10="*","",""), IF('اسفند 402'!AD10="@","*",""))</f>
        <v/>
      </c>
      <c r="AE6" s="92"/>
      <c r="AF6" s="92" t="str">
        <f>CONCATENATE( IF('اسفند 402'!AF10=1,"ص‌‌",""),IF('اسفند 402'!AG10=1,"ص‌'",""),IF('اسفند 402'!AF11=1,"ع‌",""),IF('اسفند 402'!AG11=1,"ع‌",""),IF('اسفند 402'!AF12=1,"ش‌",""),IF('اسفند 402'!AG12=1,"ش'‌",""), IF('اسفند 402'!AF10="*","",""), IF('اسفند 402'!AF10="@","*",""))</f>
        <v/>
      </c>
      <c r="AG6" s="92"/>
      <c r="AH6" s="92" t="str">
        <f>CONCATENATE( IF('اسفند 402'!AH10=1,"ص‌‌",""),IF('اسفند 402'!AI10=1,"ص‌'",""),IF('اسفند 402'!AH11=1,"ع‌",""),IF('اسفند 402'!AI11=1,"ع‌",""),IF('اسفند 402'!AH12=1,"ش‌",""),IF('اسفند 402'!AI12=1,"ش'‌",""), IF('اسفند 402'!AH10="*","",""), IF('اسفند 402'!AH10="@","*",""))</f>
        <v/>
      </c>
      <c r="AI6" s="92"/>
      <c r="AJ6" s="92" t="str">
        <f>CONCATENATE( IF('اسفند 402'!AJ10=1,"ص‌‌",""),IF('اسفند 402'!AK10=1,"ص‌'",""),IF('اسفند 402'!AJ11=1,"ع‌",""),IF('اسفند 402'!AK11=1,"ع‌",""),IF('اسفند 402'!AJ12=1,"ش‌",""),IF('اسفند 402'!AK12=1,"ش'‌",""), IF('اسفند 402'!AJ10="*","",""), IF('اسفند 402'!AJ10="@","*",""))</f>
        <v/>
      </c>
      <c r="AK6" s="92"/>
      <c r="AL6" s="93" t="str">
        <f>CONCATENATE( IF('اسفند 402'!AL10=1,"ص‌‌",""),IF('اسفند 402'!AM10=1,"ص‌'",""),IF('اسفند 402'!AL11=1,"ع‌",""),IF('اسفند 402'!AM11=1,"ع‌",""),IF('اسفند 402'!AL12=1,"ش‌",""),IF('اسفند 402'!AM12=1,"ش'‌",""), IF('اسفند 402'!AL10="*","",""), IF('اسفند 402'!AL10="@","*",""))</f>
        <v/>
      </c>
      <c r="AM6" s="93"/>
      <c r="AN6" s="92" t="str">
        <f>CONCATENATE( IF('اسفند 402'!AN10=1,"ص‌‌",""),IF('اسفند 402'!AO10=1,"ص‌'",""),IF('اسفند 402'!AN11=1,"ع‌",""),IF('اسفند 402'!AO11=1,"ع‌",""),IF('اسفند 402'!AN12=1,"ش‌",""),IF('اسفند 402'!AO12=1,"ش'‌",""), IF('اسفند 402'!AN10="*","",""), IF('اسفند 402'!AN10="@","*",""))</f>
        <v/>
      </c>
      <c r="AO6" s="92"/>
      <c r="AP6" s="92" t="str">
        <f>CONCATENATE( IF('اسفند 402'!AP10=1,"ص‌‌",""),IF('اسفند 402'!AQ10=1,"ص‌'",""),IF('اسفند 402'!AP11=1,"ع‌",""),IF('اسفند 402'!AQ11=1,"ع‌",""),IF('اسفند 402'!AP12=1,"ش‌",""),IF('اسفند 402'!AQ12=1,"ش'‌",""), IF('اسفند 402'!AP10="*","",""), IF('اسفند 402'!AP10="@","*",""))</f>
        <v/>
      </c>
      <c r="AQ6" s="92"/>
      <c r="AR6" s="92" t="str">
        <f>CONCATENATE( IF('اسفند 402'!AR10=1,"ص‌‌",""),IF('اسفند 402'!AS10=1,"ص‌'",""),IF('اسفند 402'!AR11=1,"ع‌",""),IF('اسفند 402'!AS11=1,"ع‌",""),IF('اسفند 402'!AR12=1,"ش‌",""),IF('اسفند 402'!AS12=1,"ش'‌",""), IF('اسفند 402'!AR10="*","",""), IF('اسفند 402'!AR10="@","*",""))</f>
        <v/>
      </c>
      <c r="AS6" s="92"/>
      <c r="AT6" s="92" t="str">
        <f>CONCATENATE( IF('اسفند 402'!AT10=1,"ص‌‌",""),IF('اسفند 402'!AU10=1,"ص‌'",""),IF('اسفند 402'!AT11=1,"ع‌",""),IF('اسفند 402'!AU11=1,"ع‌",""),IF('اسفند 402'!AT12=1,"ش‌",""),IF('اسفند 402'!AU12=1,"ش'‌",""), IF('اسفند 402'!AT10="*","",""), IF('اسفند 402'!AT10="@","*",""))</f>
        <v/>
      </c>
      <c r="AU6" s="92"/>
      <c r="AV6" s="93" t="str">
        <f>CONCATENATE( IF('اسفند 402'!AV10=1,"ص‌‌",""),IF('اسفند 402'!AW10=1,"ص‌'",""),IF('اسفند 402'!AV11=1,"ع‌",""),IF('اسفند 402'!AW11=1,"ع‌",""),IF('اسفند 402'!AV12=1,"ش‌",""),IF('اسفند 402'!AW12=1,"ش'‌",""), IF('اسفند 402'!AV10="*","",""), IF('اسفند 402'!AV10="@","*",""))</f>
        <v/>
      </c>
      <c r="AW6" s="93"/>
      <c r="AX6" s="93" t="str">
        <f>CONCATENATE( IF('اسفند 402'!AX10=1,"ص‌‌",""),IF('اسفند 402'!AY10=1,"ص‌'",""),IF('اسفند 402'!AX11=1,"ع‌",""),IF('اسفند 402'!AY11=1,"ع‌",""),IF('اسفند 402'!AX12=1,"ش‌",""),IF('اسفند 402'!AY12=1,"ش'‌",""), IF('اسفند 402'!AX10="*","",""), IF('اسفند 402'!AX10="@","*",""))</f>
        <v/>
      </c>
      <c r="AY6" s="93"/>
      <c r="AZ6" s="93" t="str">
        <f>CONCATENATE( IF('اسفند 402'!AZ10=1,"ص‌‌",""),IF('اسفند 402'!BA10=1,"ص‌'",""),IF('اسفند 402'!AZ11=1,"ع‌",""),IF('اسفند 402'!BA11=1,"ع‌",""),IF('اسفند 402'!AZ12=1,"ش‌",""),IF('اسفند 402'!BA12=1,"ش'‌",""), IF('اسفند 402'!AZ10="*","",""), IF('اسفند 402'!AZ10="@","*",""))</f>
        <v/>
      </c>
      <c r="BA6" s="93"/>
      <c r="BB6" s="92" t="str">
        <f>CONCATENATE( IF('اسفند 402'!BB10=1,"ص‌‌",""),IF('اسفند 402'!BC10=1,"ص‌'",""),IF('اسفند 402'!BB11=1,"ع‌",""),IF('اسفند 402'!BC11=1,"ع‌",""),IF('اسفند 402'!BB12=1,"ش‌",""),IF('اسفند 402'!BC12=1,"ش'‌",""), IF('اسفند 402'!BB10="*","",""), IF('اسفند 402'!BB10="@","*",""))</f>
        <v/>
      </c>
      <c r="BC6" s="92"/>
      <c r="BD6" s="92" t="str">
        <f>CONCATENATE( IF('اسفند 402'!BD10=1,"ص‌‌",""),IF('اسفند 402'!BE10=1,"ص‌'",""),IF('اسفند 402'!BD11=1,"ع‌",""),IF('اسفند 402'!BE11=1,"ع‌",""),IF('اسفند 402'!BD12=1,"ش‌",""),IF('اسفند 402'!BE12=1,"ش'‌",""), IF('اسفند 402'!BD10="*","",""), IF('اسفند 402'!BD10="@","*",""))</f>
        <v/>
      </c>
      <c r="BE6" s="92"/>
      <c r="BF6" s="92" t="str">
        <f>CONCATENATE( IF('اسفند 402'!BF10=1,"ص‌‌",""),IF('اسفند 402'!BG10=1,"ص‌'",""),IF('اسفند 402'!BF11=1,"ع‌",""),IF('اسفند 402'!BG11=1,"ع‌",""),IF('اسفند 402'!BF12=1,"ش‌",""),IF('اسفند 402'!BG12=1,"ش'‌",""), IF('اسفند 402'!BF10="*","",""), IF('اسفند 402'!BF10="@","*",""))</f>
        <v/>
      </c>
      <c r="BG6" s="92"/>
      <c r="BH6" s="92" t="str">
        <f>CONCATENATE( IF('اسفند 402'!BH10=1,"ص‌‌",""),IF('اسفند 402'!BI10=1,"ص‌'",""),IF('اسفند 402'!BH11=1,"ع‌",""),IF('اسفند 402'!BI11=1,"ع‌",""),IF('اسفند 402'!BH12=1,"ش‌",""),IF('اسفند 402'!BI12=1,"ش'‌",""), IF('اسفند 402'!BH10="*","",""), IF('اسفند 402'!BH10="@","*",""))</f>
        <v/>
      </c>
      <c r="BI6" s="92"/>
      <c r="BJ6" s="92" t="str">
        <f>CONCATENATE( IF('اسفند 402'!BJ10=1,"ص‌‌",""),IF('اسفند 402'!BK10=1,"ص‌'",""),IF('اسفند 402'!BJ11=1,"ع‌",""),IF('اسفند 402'!BK11=1,"ع‌",""),IF('اسفند 402'!BJ12=1,"ش‌",""),IF('اسفند 402'!BK12=1,"ش'‌",""), IF('اسفند 402'!BJ10="*","",""), IF('اسفند 402'!BJ10="@","*",""))</f>
        <v/>
      </c>
      <c r="BK6" s="92"/>
      <c r="BL6" s="92" t="str">
        <f>CONCATENATE( IF('اسفند 402'!BL10=1,"ص‌‌",""),IF('اسفند 402'!BM10=1,"ص‌'",""),IF('اسفند 402'!BL11=1,"ع‌",""),IF('اسفند 402'!BM11=1,"ع‌",""),IF('اسفند 402'!BL12=1,"ش‌",""),IF('اسفند 402'!BM12=1,"ش'‌",""), IF('اسفند 402'!BL10="*","",""), IF('اسفند 402'!BL10="@","*",""))</f>
        <v/>
      </c>
      <c r="BM6" s="92"/>
      <c r="BN6" s="93" t="str">
        <f>CONCATENATE( IF('اسفند 402'!BN10=1,"ص‌‌",""),IF('اسفند 402'!BO10=1,"ص‌'",""),IF('اسفند 402'!BN11=1,"ع‌",""),IF('اسفند 402'!BO11=1,"ع‌",""),IF('اسفند 402'!BN12=1,"ش‌",""),IF('اسفند 402'!BO12=1,"ش'‌",""), IF('اسفند 402'!BN10="*","",""), IF('اسفند 402'!BN10="@","*",""))</f>
        <v/>
      </c>
      <c r="BO6" s="93"/>
      <c r="BP6" s="83">
        <f>'اسفند 402'!C11</f>
        <v>2</v>
      </c>
    </row>
    <row r="7" spans="1:69" s="32" customFormat="1" ht="6" customHeight="1" x14ac:dyDescent="0.25">
      <c r="A7" s="88"/>
      <c r="B7" s="83"/>
      <c r="C7" s="83"/>
      <c r="D7" s="83"/>
      <c r="E7" s="83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3"/>
      <c r="AM7" s="93"/>
      <c r="AN7" s="92"/>
      <c r="AO7" s="92"/>
      <c r="AP7" s="92"/>
      <c r="AQ7" s="92"/>
      <c r="AR7" s="92"/>
      <c r="AS7" s="92"/>
      <c r="AT7" s="92"/>
      <c r="AU7" s="92"/>
      <c r="AV7" s="93"/>
      <c r="AW7" s="93"/>
      <c r="AX7" s="93"/>
      <c r="AY7" s="93"/>
      <c r="AZ7" s="93"/>
      <c r="BA7" s="93"/>
      <c r="BB7" s="92"/>
      <c r="BC7" s="92"/>
      <c r="BD7" s="92"/>
      <c r="BE7" s="92"/>
      <c r="BF7" s="92"/>
      <c r="BG7" s="92"/>
      <c r="BH7" s="92"/>
      <c r="BI7" s="92"/>
      <c r="BJ7" s="92"/>
      <c r="BK7" s="92"/>
      <c r="BL7" s="92"/>
      <c r="BM7" s="92"/>
      <c r="BN7" s="93"/>
      <c r="BO7" s="93"/>
      <c r="BP7" s="83"/>
    </row>
    <row r="8" spans="1:69" s="32" customFormat="1" ht="6" customHeight="1" x14ac:dyDescent="0.25">
      <c r="A8" s="88"/>
      <c r="B8" s="83"/>
      <c r="C8" s="83"/>
      <c r="D8" s="83"/>
      <c r="E8" s="83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3"/>
      <c r="AM8" s="93"/>
      <c r="AN8" s="92"/>
      <c r="AO8" s="92"/>
      <c r="AP8" s="92"/>
      <c r="AQ8" s="92"/>
      <c r="AR8" s="92"/>
      <c r="AS8" s="92"/>
      <c r="AT8" s="92"/>
      <c r="AU8" s="92"/>
      <c r="AV8" s="93"/>
      <c r="AW8" s="93"/>
      <c r="AX8" s="93"/>
      <c r="AY8" s="93"/>
      <c r="AZ8" s="93"/>
      <c r="BA8" s="93"/>
      <c r="BB8" s="92"/>
      <c r="BC8" s="92"/>
      <c r="BD8" s="92"/>
      <c r="BE8" s="92"/>
      <c r="BF8" s="92"/>
      <c r="BG8" s="92"/>
      <c r="BH8" s="92"/>
      <c r="BI8" s="92"/>
      <c r="BJ8" s="92"/>
      <c r="BK8" s="92"/>
      <c r="BL8" s="92"/>
      <c r="BM8" s="92"/>
      <c r="BN8" s="93"/>
      <c r="BO8" s="93"/>
      <c r="BP8" s="83"/>
    </row>
    <row r="9" spans="1:69" s="32" customFormat="1" ht="6" customHeight="1" x14ac:dyDescent="0.25">
      <c r="A9" s="88"/>
      <c r="B9" s="83">
        <v>3</v>
      </c>
      <c r="C9" s="83" t="str">
        <f>'اسفند 402'!B13</f>
        <v>x2</v>
      </c>
      <c r="D9" s="83" t="s">
        <v>28</v>
      </c>
      <c r="E9" s="83">
        <v>7.6</v>
      </c>
      <c r="F9" s="92" t="str">
        <f>CONCATENATE( IF('اسفند 402'!F13=1,"ص‌‌",""),IF('اسفند 402'!G13=1,"ص‌'",""),IF('اسفند 402'!F14=1,"ع‌",""),IF('اسفند 402'!G14=1,"ع‌",""),IF('اسفند 402'!F15=1,"ش‌",""),IF('اسفند 402'!G15=1,"ش'‌",""), IF('اسفند 402'!F13="*","",""), IF('اسفند 402'!F13="@","*",""))</f>
        <v/>
      </c>
      <c r="G9" s="92"/>
      <c r="H9" s="92" t="str">
        <f>CONCATENATE( IF('اسفند 402'!H13=1,"ص‌‌",""),IF('اسفند 402'!I13=1,"ص‌'",""),IF('اسفند 402'!H14=1,"ع‌",""),IF('اسفند 402'!I14=1,"ع‌",""),IF('اسفند 402'!H15=1,"ش‌",""),IF('اسفند 402'!I15=1,"ش'‌",""), IF('اسفند 402'!H13="*","",""), IF('اسفند 402'!H13="@","*",""))</f>
        <v>ع‌ش‌</v>
      </c>
      <c r="I9" s="92"/>
      <c r="J9" s="92" t="str">
        <f>CONCATENATE( IF('اسفند 402'!J13=1,"ص‌‌",""),IF('اسفند 402'!K13=1,"ص‌'",""),IF('اسفند 402'!J14=1,"ع‌",""),IF('اسفند 402'!K14=1,"ع‌",""),IF('اسفند 402'!J15=1,"ش‌",""),IF('اسفند 402'!K15=1,"ش'‌",""), IF('اسفند 402'!J13="*","",""), IF('اسفند 402'!J13="@","*",""))</f>
        <v/>
      </c>
      <c r="K9" s="92"/>
      <c r="L9" s="92" t="str">
        <f>CONCATENATE( IF('اسفند 402'!L13=1,"ص‌‌",""),IF('اسفند 402'!M13=1,"ص‌'",""),IF('اسفند 402'!L14=1,"ع‌",""),IF('اسفند 402'!M14=1,"ع‌",""),IF('اسفند 402'!L15=1,"ش‌",""),IF('اسفند 402'!M15=1,"ش'‌",""), IF('اسفند 402'!L13="*","",""), IF('اسفند 402'!L13="@","*",""))</f>
        <v/>
      </c>
      <c r="M9" s="92"/>
      <c r="N9" s="92" t="str">
        <f>CONCATENATE( IF('اسفند 402'!N13=1,"ص‌‌",""),IF('اسفند 402'!O13=1,"ص‌'",""),IF('اسفند 402'!N14=1,"ع‌",""),IF('اسفند 402'!O14=1,"ع‌",""),IF('اسفند 402'!N15=1,"ش‌",""),IF('اسفند 402'!O15=1,"ش'‌",""), IF('اسفند 402'!N13="*","",""), IF('اسفند 402'!N13="@","*",""))</f>
        <v>ش‌</v>
      </c>
      <c r="O9" s="92"/>
      <c r="P9" s="92" t="str">
        <f>CONCATENATE( IF('اسفند 402'!P13=1,"ص‌‌",""),IF('اسفند 402'!Q13=1,"ص‌'",""),IF('اسفند 402'!P14=1,"ع‌",""),IF('اسفند 402'!Q14=1,"ع‌",""),IF('اسفند 402'!P15=1,"ش‌",""),IF('اسفند 402'!Q15=1,"ش'‌",""), IF('اسفند 402'!P13="*","",""), IF('اسفند 402'!P13="@","*",""))</f>
        <v/>
      </c>
      <c r="Q9" s="92"/>
      <c r="R9" s="92" t="str">
        <f>CONCATENATE( IF('اسفند 402'!R13=1,"ص‌‌",""),IF('اسفند 402'!S13=1,"ص‌'",""),IF('اسفند 402'!R14=1,"ع‌",""),IF('اسفند 402'!S14=1,"ع‌",""),IF('اسفند 402'!R15=1,"ش‌",""),IF('اسفند 402'!S15=1,"ش'‌",""), IF('اسفند 402'!R13="*","",""), IF('اسفند 402'!R13="@","*",""))</f>
        <v/>
      </c>
      <c r="S9" s="92"/>
      <c r="T9" s="92" t="str">
        <f>CONCATENATE( IF('اسفند 402'!T13=1,"ص‌‌",""),IF('اسفند 402'!U13=1,"ص‌'",""),IF('اسفند 402'!T14=1,"ع‌",""),IF('اسفند 402'!U14=1,"ع‌",""),IF('اسفند 402'!T15=1,"ش‌",""),IF('اسفند 402'!U15=1,"ش'‌",""), IF('اسفند 402'!T13="*","",""), IF('اسفند 402'!T13="@","*",""))</f>
        <v>ص‌‌ش‌</v>
      </c>
      <c r="U9" s="92"/>
      <c r="V9" s="92" t="str">
        <f>CONCATENATE( IF('اسفند 402'!V13=1,"ص‌‌",""),IF('اسفند 402'!W13=1,"ص‌'",""),IF('اسفند 402'!V14=1,"ع‌",""),IF('اسفند 402'!W14=1,"ع‌",""),IF('اسفند 402'!V15=1,"ش‌",""),IF('اسفند 402'!W15=1,"ش'‌",""), IF('اسفند 402'!V13="*","",""), IF('اسفند 402'!V13="@","*",""))</f>
        <v/>
      </c>
      <c r="W9" s="92"/>
      <c r="X9" s="92" t="str">
        <f>CONCATENATE( IF('اسفند 402'!X13=1,"ص‌‌",""),IF('اسفند 402'!Y13=1,"ص‌'",""),IF('اسفند 402'!X14=1,"ع‌",""),IF('اسفند 402'!Y14=1,"ع‌",""),IF('اسفند 402'!X15=1,"ش‌",""),IF('اسفند 402'!Y15=1,"ش'‌",""), IF('اسفند 402'!X13="*","",""), IF('اسفند 402'!X13="@","*",""))</f>
        <v/>
      </c>
      <c r="Y9" s="92"/>
      <c r="Z9" s="92" t="str">
        <f>CONCATENATE( IF('اسفند 402'!Z13=1,"ص‌‌",""),IF('اسفند 402'!AA13=1,"ص‌'",""),IF('اسفند 402'!Z14=1,"ع‌",""),IF('اسفند 402'!AA14=1,"ع‌",""),IF('اسفند 402'!Z15=1,"ش‌",""),IF('اسفند 402'!AA15=1,"ش'‌",""), IF('اسفند 402'!Z13="*","",""), IF('اسفند 402'!Z13="@","*",""))</f>
        <v/>
      </c>
      <c r="AA9" s="92"/>
      <c r="AB9" s="92" t="str">
        <f>CONCATENATE( IF('اسفند 402'!AB13=1,"ص‌‌",""),IF('اسفند 402'!AC13=1,"ص‌'",""),IF('اسفند 402'!AB14=1,"ع‌",""),IF('اسفند 402'!AC14=1,"ع‌",""),IF('اسفند 402'!AB15=1,"ش‌",""),IF('اسفند 402'!AC15=1,"ش'‌",""), IF('اسفند 402'!AB13="*","",""), IF('اسفند 402'!AB13="@","*",""))</f>
        <v/>
      </c>
      <c r="AC9" s="92"/>
      <c r="AD9" s="92" t="str">
        <f>CONCATENATE( IF('اسفند 402'!AD13=1,"ص‌‌",""),IF('اسفند 402'!AE13=1,"ص‌'",""),IF('اسفند 402'!AD14=1,"ع‌",""),IF('اسفند 402'!AE14=1,"ع‌",""),IF('اسفند 402'!AD15=1,"ش‌",""),IF('اسفند 402'!AE15=1,"ش'‌",""), IF('اسفند 402'!AD13="*","",""), IF('اسفند 402'!AD13="@","*",""))</f>
        <v/>
      </c>
      <c r="AE9" s="92"/>
      <c r="AF9" s="92" t="str">
        <f>CONCATENATE( IF('اسفند 402'!AF13=1,"ص‌‌",""),IF('اسفند 402'!AG13=1,"ص‌'",""),IF('اسفند 402'!AF14=1,"ع‌",""),IF('اسفند 402'!AG14=1,"ع‌",""),IF('اسفند 402'!AF15=1,"ش‌",""),IF('اسفند 402'!AG15=1,"ش'‌",""), IF('اسفند 402'!AF13="*","",""), IF('اسفند 402'!AF13="@","*",""))</f>
        <v>ص‌‌ع‌</v>
      </c>
      <c r="AG9" s="92"/>
      <c r="AH9" s="92" t="str">
        <f>CONCATENATE( IF('اسفند 402'!AH13=1,"ص‌‌",""),IF('اسفند 402'!AI13=1,"ص‌'",""),IF('اسفند 402'!AH14=1,"ع‌",""),IF('اسفند 402'!AI14=1,"ع‌",""),IF('اسفند 402'!AH15=1,"ش‌",""),IF('اسفند 402'!AI15=1,"ش'‌",""), IF('اسفند 402'!AH13="*","",""), IF('اسفند 402'!AH13="@","*",""))</f>
        <v/>
      </c>
      <c r="AI9" s="92"/>
      <c r="AJ9" s="92" t="str">
        <f>CONCATENATE( IF('اسفند 402'!AJ13=1,"ص‌‌",""),IF('اسفند 402'!AK13=1,"ص‌'",""),IF('اسفند 402'!AJ14=1,"ع‌",""),IF('اسفند 402'!AK14=1,"ع‌",""),IF('اسفند 402'!AJ15=1,"ش‌",""),IF('اسفند 402'!AK15=1,"ش'‌",""), IF('اسفند 402'!AJ13="*","",""), IF('اسفند 402'!AJ13="@","*",""))</f>
        <v/>
      </c>
      <c r="AK9" s="92"/>
      <c r="AL9" s="93" t="str">
        <f>CONCATENATE( IF('اسفند 402'!AL13=1,"ص‌‌",""),IF('اسفند 402'!AM13=1,"ص‌'",""),IF('اسفند 402'!AL14=1,"ع‌",""),IF('اسفند 402'!AM14=1,"ع‌",""),IF('اسفند 402'!AL15=1,"ش‌",""),IF('اسفند 402'!AM15=1,"ش'‌",""), IF('اسفند 402'!AL13="*","",""), IF('اسفند 402'!AL13="@","*",""))</f>
        <v>ع‌ش‌</v>
      </c>
      <c r="AM9" s="93"/>
      <c r="AN9" s="92" t="str">
        <f>CONCATENATE( IF('اسفند 402'!AN13=1,"ص‌‌",""),IF('اسفند 402'!AO13=1,"ص‌'",""),IF('اسفند 402'!AN14=1,"ع‌",""),IF('اسفند 402'!AO14=1,"ع‌",""),IF('اسفند 402'!AN15=1,"ش‌",""),IF('اسفند 402'!AO15=1,"ش'‌",""), IF('اسفند 402'!AN13="*","",""), IF('اسفند 402'!AN13="@","*",""))</f>
        <v/>
      </c>
      <c r="AO9" s="92"/>
      <c r="AP9" s="92" t="str">
        <f>CONCATENATE( IF('اسفند 402'!AP13=1,"ص‌‌",""),IF('اسفند 402'!AQ13=1,"ص‌'",""),IF('اسفند 402'!AP14=1,"ع‌",""),IF('اسفند 402'!AQ14=1,"ع‌",""),IF('اسفند 402'!AP15=1,"ش‌",""),IF('اسفند 402'!AQ15=1,"ش'‌",""), IF('اسفند 402'!AP13="*","",""), IF('اسفند 402'!AP13="@","*",""))</f>
        <v/>
      </c>
      <c r="AQ9" s="92"/>
      <c r="AR9" s="92" t="str">
        <f>CONCATENATE( IF('اسفند 402'!AR13=1,"ص‌‌",""),IF('اسفند 402'!AS13=1,"ص‌'",""),IF('اسفند 402'!AR14=1,"ع‌",""),IF('اسفند 402'!AS14=1,"ع‌",""),IF('اسفند 402'!AR15=1,"ش‌",""),IF('اسفند 402'!AS15=1,"ش'‌",""), IF('اسفند 402'!AR13="*","",""), IF('اسفند 402'!AR13="@","*",""))</f>
        <v>ص‌‌ع‌</v>
      </c>
      <c r="AS9" s="92"/>
      <c r="AT9" s="92" t="str">
        <f>CONCATENATE( IF('اسفند 402'!AT13=1,"ص‌‌",""),IF('اسفند 402'!AU13=1,"ص‌'",""),IF('اسفند 402'!AT14=1,"ع‌",""),IF('اسفند 402'!AU14=1,"ع‌",""),IF('اسفند 402'!AT15=1,"ش‌",""),IF('اسفند 402'!AU15=1,"ش'‌",""), IF('اسفند 402'!AT13="*","",""), IF('اسفند 402'!AT13="@","*",""))</f>
        <v/>
      </c>
      <c r="AU9" s="92"/>
      <c r="AV9" s="93" t="str">
        <f>CONCATENATE( IF('اسفند 402'!AV13=1,"ص‌‌",""),IF('اسفند 402'!AW13=1,"ص‌'",""),IF('اسفند 402'!AV14=1,"ع‌",""),IF('اسفند 402'!AW14=1,"ع‌",""),IF('اسفند 402'!AV15=1,"ش‌",""),IF('اسفند 402'!AW15=1,"ش'‌",""), IF('اسفند 402'!AV13="*","",""), IF('اسفند 402'!AV13="@","*",""))</f>
        <v>ص‌‌ع‌</v>
      </c>
      <c r="AW9" s="93"/>
      <c r="AX9" s="93" t="str">
        <f>CONCATENATE( IF('اسفند 402'!AX13=1,"ص‌‌",""),IF('اسفند 402'!AY13=1,"ص‌'",""),IF('اسفند 402'!AX14=1,"ع‌",""),IF('اسفند 402'!AY14=1,"ع‌",""),IF('اسفند 402'!AX15=1,"ش‌",""),IF('اسفند 402'!AY15=1,"ش'‌",""), IF('اسفند 402'!AX13="*","",""), IF('اسفند 402'!AX13="@","*",""))</f>
        <v/>
      </c>
      <c r="AY9" s="93"/>
      <c r="AZ9" s="93" t="str">
        <f>CONCATENATE( IF('اسفند 402'!AZ13=1,"ص‌‌",""),IF('اسفند 402'!BA13=1,"ص‌'",""),IF('اسفند 402'!AZ14=1,"ع‌",""),IF('اسفند 402'!BA14=1,"ع‌",""),IF('اسفند 402'!AZ15=1,"ش‌",""),IF('اسفند 402'!BA15=1,"ش'‌",""), IF('اسفند 402'!AZ13="*","",""), IF('اسفند 402'!AZ13="@","*",""))</f>
        <v/>
      </c>
      <c r="BA9" s="93"/>
      <c r="BB9" s="92" t="str">
        <f>CONCATENATE( IF('اسفند 402'!BB13=1,"ص‌‌",""),IF('اسفند 402'!BC13=1,"ص‌'",""),IF('اسفند 402'!BB14=1,"ع‌",""),IF('اسفند 402'!BC14=1,"ع‌",""),IF('اسفند 402'!BB15=1,"ش‌",""),IF('اسفند 402'!BC15=1,"ش'‌",""), IF('اسفند 402'!BB13="*","",""), IF('اسفند 402'!BB13="@","*",""))</f>
        <v/>
      </c>
      <c r="BC9" s="92"/>
      <c r="BD9" s="92" t="str">
        <f>CONCATENATE( IF('اسفند 402'!BD13=1,"ص‌‌",""),IF('اسفند 402'!BE13=1,"ص‌'",""),IF('اسفند 402'!BD14=1,"ع‌",""),IF('اسفند 402'!BE14=1,"ع‌",""),IF('اسفند 402'!BD15=1,"ش‌",""),IF('اسفند 402'!BE15=1,"ش'‌",""), IF('اسفند 402'!BD13="*","",""), IF('اسفند 402'!BD13="@","*",""))</f>
        <v/>
      </c>
      <c r="BE9" s="92"/>
      <c r="BF9" s="92" t="str">
        <f>CONCATENATE( IF('اسفند 402'!BF13=1,"ص‌‌",""),IF('اسفند 402'!BG13=1,"ص‌'",""),IF('اسفند 402'!BF14=1,"ع‌",""),IF('اسفند 402'!BG14=1,"ع‌",""),IF('اسفند 402'!BF15=1,"ش‌",""),IF('اسفند 402'!BG15=1,"ش'‌",""), IF('اسفند 402'!BF13="*","",""), IF('اسفند 402'!BF13="@","*",""))</f>
        <v/>
      </c>
      <c r="BG9" s="92"/>
      <c r="BH9" s="92" t="str">
        <f>CONCATENATE( IF('اسفند 402'!BH13=1,"ص‌‌",""),IF('اسفند 402'!BI13=1,"ص‌'",""),IF('اسفند 402'!BH14=1,"ع‌",""),IF('اسفند 402'!BI14=1,"ع‌",""),IF('اسفند 402'!BH15=1,"ش‌",""),IF('اسفند 402'!BI15=1,"ش'‌",""), IF('اسفند 402'!BH13="*","",""), IF('اسفند 402'!BH13="@","*",""))</f>
        <v>ص‌‌ع‌</v>
      </c>
      <c r="BI9" s="92"/>
      <c r="BJ9" s="92" t="str">
        <f>CONCATENATE( IF('اسفند 402'!BJ13=1,"ص‌‌",""),IF('اسفند 402'!BK13=1,"ص‌'",""),IF('اسفند 402'!BJ14=1,"ع‌",""),IF('اسفند 402'!BK14=1,"ع‌",""),IF('اسفند 402'!BJ15=1,"ش‌",""),IF('اسفند 402'!BK15=1,"ش'‌",""), IF('اسفند 402'!BJ13="*","",""), IF('اسفند 402'!BJ13="@","*",""))</f>
        <v/>
      </c>
      <c r="BK9" s="92"/>
      <c r="BL9" s="92" t="str">
        <f>CONCATENATE( IF('اسفند 402'!BL13=1,"ص‌‌",""),IF('اسفند 402'!BM13=1,"ص‌'",""),IF('اسفند 402'!BL14=1,"ع‌",""),IF('اسفند 402'!BM14=1,"ع‌",""),IF('اسفند 402'!BL15=1,"ش‌",""),IF('اسفند 402'!BM15=1,"ش'‌",""), IF('اسفند 402'!BL13="*","",""), IF('اسفند 402'!BL13="@","*",""))</f>
        <v>ص‌‌ش‌</v>
      </c>
      <c r="BM9" s="92"/>
      <c r="BN9" s="93" t="str">
        <f>CONCATENATE( IF('اسفند 402'!BN13=1,"ص‌‌",""),IF('اسفند 402'!BO13=1,"ص‌'",""),IF('اسفند 402'!BN14=1,"ع‌",""),IF('اسفند 402'!BO14=1,"ع‌",""),IF('اسفند 402'!BN15=1,"ش‌",""),IF('اسفند 402'!BO15=1,"ش'‌",""), IF('اسفند 402'!BN13="*","",""), IF('اسفند 402'!BN13="@","*",""))</f>
        <v/>
      </c>
      <c r="BO9" s="93"/>
      <c r="BP9" s="83">
        <f>'اسفند 402'!C14</f>
        <v>22</v>
      </c>
    </row>
    <row r="10" spans="1:69" s="32" customFormat="1" ht="6" customHeight="1" x14ac:dyDescent="0.25">
      <c r="A10" s="88"/>
      <c r="B10" s="83"/>
      <c r="C10" s="83"/>
      <c r="D10" s="83"/>
      <c r="E10" s="83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3"/>
      <c r="AM10" s="93"/>
      <c r="AN10" s="92"/>
      <c r="AO10" s="92"/>
      <c r="AP10" s="92"/>
      <c r="AQ10" s="92"/>
      <c r="AR10" s="92"/>
      <c r="AS10" s="92"/>
      <c r="AT10" s="92"/>
      <c r="AU10" s="92"/>
      <c r="AV10" s="93"/>
      <c r="AW10" s="93"/>
      <c r="AX10" s="93"/>
      <c r="AY10" s="93"/>
      <c r="AZ10" s="93"/>
      <c r="BA10" s="93"/>
      <c r="BB10" s="92"/>
      <c r="BC10" s="92"/>
      <c r="BD10" s="92"/>
      <c r="BE10" s="92"/>
      <c r="BF10" s="92"/>
      <c r="BG10" s="92"/>
      <c r="BH10" s="92"/>
      <c r="BI10" s="92"/>
      <c r="BJ10" s="92"/>
      <c r="BK10" s="92"/>
      <c r="BL10" s="92"/>
      <c r="BM10" s="92"/>
      <c r="BN10" s="93"/>
      <c r="BO10" s="93"/>
      <c r="BP10" s="83"/>
    </row>
    <row r="11" spans="1:69" s="32" customFormat="1" ht="6" customHeight="1" x14ac:dyDescent="0.25">
      <c r="A11" s="88"/>
      <c r="B11" s="83"/>
      <c r="C11" s="83"/>
      <c r="D11" s="83"/>
      <c r="E11" s="83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3"/>
      <c r="AM11" s="93"/>
      <c r="AN11" s="92"/>
      <c r="AO11" s="92"/>
      <c r="AP11" s="92"/>
      <c r="AQ11" s="92"/>
      <c r="AR11" s="92"/>
      <c r="AS11" s="92"/>
      <c r="AT11" s="92"/>
      <c r="AU11" s="92"/>
      <c r="AV11" s="93"/>
      <c r="AW11" s="93"/>
      <c r="AX11" s="93"/>
      <c r="AY11" s="93"/>
      <c r="AZ11" s="93"/>
      <c r="BA11" s="93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3"/>
      <c r="BO11" s="93"/>
      <c r="BP11" s="83"/>
    </row>
    <row r="12" spans="1:69" s="32" customFormat="1" ht="6" customHeight="1" x14ac:dyDescent="0.25">
      <c r="A12" s="88"/>
      <c r="B12" s="83">
        <v>4</v>
      </c>
      <c r="C12" s="83" t="str">
        <f>'اسفند 402'!B16</f>
        <v>x3</v>
      </c>
      <c r="D12" s="83" t="s">
        <v>28</v>
      </c>
      <c r="E12" s="83">
        <v>7.4</v>
      </c>
      <c r="F12" s="92" t="str">
        <f>CONCATENATE( IF('اسفند 402'!F16=1,"ص‌‌",""),IF('اسفند 402'!G16=1,"ص‌'",""),IF('اسفند 402'!F17=1,"ع‌",""),IF('اسفند 402'!G17=1,"ع‌",""),IF('اسفند 402'!F18=1,"ش‌",""),IF('اسفند 402'!G18=1,"ش'‌",""), IF('اسفند 402'!F16="*","",""), IF('اسفند 402'!F16="@","*",""))</f>
        <v>ص‌‌</v>
      </c>
      <c r="G12" s="92"/>
      <c r="H12" s="92" t="str">
        <f>CONCATENATE( IF('اسفند 402'!H16=1,"ص‌‌",""),IF('اسفند 402'!I16=1,"ص‌'",""),IF('اسفند 402'!H17=1,"ع‌",""),IF('اسفند 402'!I17=1,"ع‌",""),IF('اسفند 402'!H18=1,"ش‌",""),IF('اسفند 402'!I18=1,"ش'‌",""), IF('اسفند 402'!H16="*","",""), IF('اسفند 402'!H16="@","*",""))</f>
        <v>ص‌‌</v>
      </c>
      <c r="I12" s="92"/>
      <c r="J12" s="92" t="str">
        <f>CONCATENATE( IF('اسفند 402'!J16=1,"ص‌‌",""),IF('اسفند 402'!K16=1,"ص‌'",""),IF('اسفند 402'!J17=1,"ع‌",""),IF('اسفند 402'!K17=1,"ع‌",""),IF('اسفند 402'!J18=1,"ش‌",""),IF('اسفند 402'!K18=1,"ش'‌",""), IF('اسفند 402'!J16="*","",""), IF('اسفند 402'!J16="@","*",""))</f>
        <v>ص‌‌</v>
      </c>
      <c r="K12" s="92"/>
      <c r="L12" s="92" t="str">
        <f>CONCATENATE( IF('اسفند 402'!L16=1,"ص‌‌",""),IF('اسفند 402'!M16=1,"ص‌'",""),IF('اسفند 402'!L17=1,"ع‌",""),IF('اسفند 402'!M17=1,"ع‌",""),IF('اسفند 402'!L18=1,"ش‌",""),IF('اسفند 402'!M18=1,"ش'‌",""), IF('اسفند 402'!L16="*","",""), IF('اسفند 402'!L16="@","*",""))</f>
        <v>ص‌‌</v>
      </c>
      <c r="M12" s="92"/>
      <c r="N12" s="92" t="str">
        <f>CONCATENATE( IF('اسفند 402'!N16=1,"ص‌‌",""),IF('اسفند 402'!O16=1,"ص‌'",""),IF('اسفند 402'!N17=1,"ع‌",""),IF('اسفند 402'!O17=1,"ع‌",""),IF('اسفند 402'!N18=1,"ش‌",""),IF('اسفند 402'!O18=1,"ش'‌",""), IF('اسفند 402'!N16="*","",""), IF('اسفند 402'!N16="@","*",""))</f>
        <v/>
      </c>
      <c r="O12" s="92"/>
      <c r="P12" s="92" t="str">
        <f>CONCATENATE( IF('اسفند 402'!P16=1,"ص‌‌",""),IF('اسفند 402'!Q16=1,"ص‌'",""),IF('اسفند 402'!P17=1,"ع‌",""),IF('اسفند 402'!Q17=1,"ع‌",""),IF('اسفند 402'!P18=1,"ش‌",""),IF('اسفند 402'!Q18=1,"ش'‌",""), IF('اسفند 402'!P16="*","",""), IF('اسفند 402'!P16="@","*",""))</f>
        <v>ص‌‌</v>
      </c>
      <c r="Q12" s="92"/>
      <c r="R12" s="92" t="str">
        <f>CONCATENATE( IF('اسفند 402'!R16=1,"ص‌‌",""),IF('اسفند 402'!S16=1,"ص‌'",""),IF('اسفند 402'!R17=1,"ع‌",""),IF('اسفند 402'!S17=1,"ع‌",""),IF('اسفند 402'!R18=1,"ش‌",""),IF('اسفند 402'!S18=1,"ش'‌",""), IF('اسفند 402'!R16="*","",""), IF('اسفند 402'!R16="@","*",""))</f>
        <v>ص‌‌</v>
      </c>
      <c r="S12" s="92"/>
      <c r="T12" s="92" t="str">
        <f>CONCATENATE( IF('اسفند 402'!T16=1,"ص‌‌",""),IF('اسفند 402'!U16=1,"ص‌'",""),IF('اسفند 402'!T17=1,"ع‌",""),IF('اسفند 402'!U17=1,"ع‌",""),IF('اسفند 402'!T18=1,"ش‌",""),IF('اسفند 402'!U18=1,"ش'‌",""), IF('اسفند 402'!T16="*","",""), IF('اسفند 402'!T16="@","*",""))</f>
        <v>ص‌‌</v>
      </c>
      <c r="U12" s="92"/>
      <c r="V12" s="92" t="str">
        <f>CONCATENATE( IF('اسفند 402'!V16=1,"ص‌‌",""),IF('اسفند 402'!W16=1,"ص‌'",""),IF('اسفند 402'!V17=1,"ع‌",""),IF('اسفند 402'!W17=1,"ع‌",""),IF('اسفند 402'!V18=1,"ش‌",""),IF('اسفند 402'!W18=1,"ش'‌",""), IF('اسفند 402'!V16="*","",""), IF('اسفند 402'!V16="@","*",""))</f>
        <v>ص‌‌</v>
      </c>
      <c r="W12" s="92"/>
      <c r="X12" s="92" t="str">
        <f>CONCATENATE( IF('اسفند 402'!X16=1,"ص‌‌",""),IF('اسفند 402'!Y16=1,"ص‌'",""),IF('اسفند 402'!X17=1,"ع‌",""),IF('اسفند 402'!Y17=1,"ع‌",""),IF('اسفند 402'!X18=1,"ش‌",""),IF('اسفند 402'!Y18=1,"ش'‌",""), IF('اسفند 402'!X16="*","",""), IF('اسفند 402'!X16="@","*",""))</f>
        <v>ص‌‌</v>
      </c>
      <c r="Y12" s="92"/>
      <c r="Z12" s="92" t="str">
        <f>CONCATENATE( IF('اسفند 402'!Z16=1,"ص‌‌",""),IF('اسفند 402'!AA16=1,"ص‌'",""),IF('اسفند 402'!Z17=1,"ع‌",""),IF('اسفند 402'!AA17=1,"ع‌",""),IF('اسفند 402'!Z18=1,"ش‌",""),IF('اسفند 402'!AA18=1,"ش'‌",""), IF('اسفند 402'!Z16="*","",""), IF('اسفند 402'!Z16="@","*",""))</f>
        <v/>
      </c>
      <c r="AA12" s="92"/>
      <c r="AB12" s="92" t="str">
        <f>CONCATENATE( IF('اسفند 402'!AB16=1,"ص‌‌",""),IF('اسفند 402'!AC16=1,"ص‌'",""),IF('اسفند 402'!AB17=1,"ع‌",""),IF('اسفند 402'!AC17=1,"ع‌",""),IF('اسفند 402'!AB18=1,"ش‌",""),IF('اسفند 402'!AC18=1,"ش'‌",""), IF('اسفند 402'!AB16="*","",""), IF('اسفند 402'!AB16="@","*",""))</f>
        <v>ص‌‌</v>
      </c>
      <c r="AC12" s="92"/>
      <c r="AD12" s="92" t="str">
        <f>CONCATENATE( IF('اسفند 402'!AD16=1,"ص‌‌",""),IF('اسفند 402'!AE16=1,"ص‌'",""),IF('اسفند 402'!AD17=1,"ع‌",""),IF('اسفند 402'!AE17=1,"ع‌",""),IF('اسفند 402'!AD18=1,"ش‌",""),IF('اسفند 402'!AE18=1,"ش'‌",""), IF('اسفند 402'!AD16="*","",""), IF('اسفند 402'!AD16="@","*",""))</f>
        <v>ص‌‌</v>
      </c>
      <c r="AE12" s="92"/>
      <c r="AF12" s="92" t="str">
        <f>CONCATENATE( IF('اسفند 402'!AF16=1,"ص‌‌",""),IF('اسفند 402'!AG16=1,"ص‌'",""),IF('اسفند 402'!AF17=1,"ع‌",""),IF('اسفند 402'!AG17=1,"ع‌",""),IF('اسفند 402'!AF18=1,"ش‌",""),IF('اسفند 402'!AG18=1,"ش'‌",""), IF('اسفند 402'!AF16="*","",""), IF('اسفند 402'!AF16="@","*",""))</f>
        <v/>
      </c>
      <c r="AG12" s="92"/>
      <c r="AH12" s="92" t="str">
        <f>CONCATENATE( IF('اسفند 402'!AH16=1,"ص‌‌",""),IF('اسفند 402'!AI16=1,"ص‌'",""),IF('اسفند 402'!AH17=1,"ع‌",""),IF('اسفند 402'!AI17=1,"ع‌",""),IF('اسفند 402'!AH18=1,"ش‌",""),IF('اسفند 402'!AI18=1,"ش'‌",""), IF('اسفند 402'!AH16="*","",""), IF('اسفند 402'!AH16="@","*",""))</f>
        <v>ص‌‌</v>
      </c>
      <c r="AI12" s="92"/>
      <c r="AJ12" s="92" t="str">
        <f>CONCATENATE( IF('اسفند 402'!AJ16=1,"ص‌‌",""),IF('اسفند 402'!AK16=1,"ص‌'",""),IF('اسفند 402'!AJ17=1,"ع‌",""),IF('اسفند 402'!AK17=1,"ع‌",""),IF('اسفند 402'!AJ18=1,"ش‌",""),IF('اسفند 402'!AK18=1,"ش'‌",""), IF('اسفند 402'!AJ16="*","",""), IF('اسفند 402'!AJ16="@","*",""))</f>
        <v>ص‌‌</v>
      </c>
      <c r="AK12" s="92"/>
      <c r="AL12" s="93" t="str">
        <f>CONCATENATE( IF('اسفند 402'!AL16=1,"ص‌‌",""),IF('اسفند 402'!AM16=1,"ص‌'",""),IF('اسفند 402'!AL17=1,"ع‌",""),IF('اسفند 402'!AM17=1,"ع‌",""),IF('اسفند 402'!AL18=1,"ش‌",""),IF('اسفند 402'!AM18=1,"ش'‌",""), IF('اسفند 402'!AL16="*","",""), IF('اسفند 402'!AL16="@","*",""))</f>
        <v>ص‌‌</v>
      </c>
      <c r="AM12" s="93"/>
      <c r="AN12" s="92" t="str">
        <f>CONCATENATE( IF('اسفند 402'!AN16=1,"ص‌‌",""),IF('اسفند 402'!AO16=1,"ص‌'",""),IF('اسفند 402'!AN17=1,"ع‌",""),IF('اسفند 402'!AO17=1,"ع‌",""),IF('اسفند 402'!AN18=1,"ش‌",""),IF('اسفند 402'!AO18=1,"ش'‌",""), IF('اسفند 402'!AN16="*","",""), IF('اسفند 402'!AN16="@","*",""))</f>
        <v>ص‌‌</v>
      </c>
      <c r="AO12" s="92"/>
      <c r="AP12" s="92" t="str">
        <f>CONCATENATE( IF('اسفند 402'!AP16=1,"ص‌‌",""),IF('اسفند 402'!AQ16=1,"ص‌'",""),IF('اسفند 402'!AP17=1,"ع‌",""),IF('اسفند 402'!AQ17=1,"ع‌",""),IF('اسفند 402'!AP18=1,"ش‌",""),IF('اسفند 402'!AQ18=1,"ش'‌",""), IF('اسفند 402'!AP16="*","",""), IF('اسفند 402'!AP16="@","*",""))</f>
        <v/>
      </c>
      <c r="AQ12" s="92"/>
      <c r="AR12" s="92" t="str">
        <f>CONCATENATE( IF('اسفند 402'!AR16=1,"ص‌‌",""),IF('اسفند 402'!AS16=1,"ص‌'",""),IF('اسفند 402'!AR17=1,"ع‌",""),IF('اسفند 402'!AS17=1,"ع‌",""),IF('اسفند 402'!AR18=1,"ش‌",""),IF('اسفند 402'!AS18=1,"ش'‌",""), IF('اسفند 402'!AR16="*","",""), IF('اسفند 402'!AR16="@","*",""))</f>
        <v/>
      </c>
      <c r="AS12" s="92"/>
      <c r="AT12" s="92" t="str">
        <f>CONCATENATE( IF('اسفند 402'!AT16=1,"ص‌‌",""),IF('اسفند 402'!AU16=1,"ص‌'",""),IF('اسفند 402'!AT17=1,"ع‌",""),IF('اسفند 402'!AU17=1,"ع‌",""),IF('اسفند 402'!AT18=1,"ش‌",""),IF('اسفند 402'!AU18=1,"ش'‌",""), IF('اسفند 402'!AT16="*","",""), IF('اسفند 402'!AT16="@","*",""))</f>
        <v/>
      </c>
      <c r="AU12" s="92"/>
      <c r="AV12" s="93" t="str">
        <f>CONCATENATE( IF('اسفند 402'!AV16=1,"ص‌‌",""),IF('اسفند 402'!AW16=1,"ص‌'",""),IF('اسفند 402'!AV17=1,"ع‌",""),IF('اسفند 402'!AW17=1,"ع‌",""),IF('اسفند 402'!AV18=1,"ش‌",""),IF('اسفند 402'!AW18=1,"ش'‌",""), IF('اسفند 402'!AV16="*","",""), IF('اسفند 402'!AV16="@","*",""))</f>
        <v/>
      </c>
      <c r="AW12" s="93"/>
      <c r="AX12" s="93" t="str">
        <f>CONCATENATE( IF('اسفند 402'!AX16=1,"ص‌‌",""),IF('اسفند 402'!AY16=1,"ص‌'",""),IF('اسفند 402'!AX17=1,"ع‌",""),IF('اسفند 402'!AY17=1,"ع‌",""),IF('اسفند 402'!AX18=1,"ش‌",""),IF('اسفند 402'!AY18=1,"ش'‌",""), IF('اسفند 402'!AX16="*","",""), IF('اسفند 402'!AX16="@","*",""))</f>
        <v/>
      </c>
      <c r="AY12" s="93"/>
      <c r="AZ12" s="93" t="str">
        <f>CONCATENATE( IF('اسفند 402'!AZ16=1,"ص‌‌",""),IF('اسفند 402'!BA16=1,"ص‌'",""),IF('اسفند 402'!AZ17=1,"ع‌",""),IF('اسفند 402'!BA17=1,"ع‌",""),IF('اسفند 402'!AZ18=1,"ش‌",""),IF('اسفند 402'!BA18=1,"ش'‌",""), IF('اسفند 402'!AZ16="*","",""), IF('اسفند 402'!AZ16="@","*",""))</f>
        <v/>
      </c>
      <c r="BA12" s="93"/>
      <c r="BB12" s="92" t="str">
        <f>CONCATENATE( IF('اسفند 402'!BB16=1,"ص‌‌",""),IF('اسفند 402'!BC16=1,"ص‌'",""),IF('اسفند 402'!BB17=1,"ع‌",""),IF('اسفند 402'!BC17=1,"ع‌",""),IF('اسفند 402'!BB18=1,"ش‌",""),IF('اسفند 402'!BC18=1,"ش'‌",""), IF('اسفند 402'!BB16="*","",""), IF('اسفند 402'!BB16="@","*",""))</f>
        <v/>
      </c>
      <c r="BC12" s="92"/>
      <c r="BD12" s="92" t="str">
        <f>CONCATENATE( IF('اسفند 402'!BD16=1,"ص‌‌",""),IF('اسفند 402'!BE16=1,"ص‌'",""),IF('اسفند 402'!BD17=1,"ع‌",""),IF('اسفند 402'!BE17=1,"ع‌",""),IF('اسفند 402'!BD18=1,"ش‌",""),IF('اسفند 402'!BE18=1,"ش'‌",""), IF('اسفند 402'!BD16="*","",""), IF('اسفند 402'!BD16="@","*",""))</f>
        <v/>
      </c>
      <c r="BE12" s="92"/>
      <c r="BF12" s="92" t="str">
        <f>CONCATENATE( IF('اسفند 402'!BF16=1,"ص‌‌",""),IF('اسفند 402'!BG16=1,"ص‌'",""),IF('اسفند 402'!BF17=1,"ع‌",""),IF('اسفند 402'!BG17=1,"ع‌",""),IF('اسفند 402'!BF18=1,"ش‌",""),IF('اسفند 402'!BG18=1,"ش'‌",""), IF('اسفند 402'!BF16="*","",""), IF('اسفند 402'!BF16="@","*",""))</f>
        <v/>
      </c>
      <c r="BG12" s="92"/>
      <c r="BH12" s="92" t="str">
        <f>CONCATENATE( IF('اسفند 402'!BH16=1,"ص‌‌",""),IF('اسفند 402'!BI16=1,"ص‌'",""),IF('اسفند 402'!BH17=1,"ع‌",""),IF('اسفند 402'!BI17=1,"ع‌",""),IF('اسفند 402'!BH18=1,"ش‌",""),IF('اسفند 402'!BI18=1,"ش'‌",""), IF('اسفند 402'!BH16="*","",""), IF('اسفند 402'!BH16="@","*",""))</f>
        <v/>
      </c>
      <c r="BI12" s="92"/>
      <c r="BJ12" s="92" t="str">
        <f>CONCATENATE( IF('اسفند 402'!BJ16=1,"ص‌‌",""),IF('اسفند 402'!BK16=1,"ص‌'",""),IF('اسفند 402'!BJ17=1,"ع‌",""),IF('اسفند 402'!BK17=1,"ع‌",""),IF('اسفند 402'!BJ18=1,"ش‌",""),IF('اسفند 402'!BK18=1,"ش'‌",""), IF('اسفند 402'!BJ16="*","",""), IF('اسفند 402'!BJ16="@","*",""))</f>
        <v/>
      </c>
      <c r="BK12" s="92"/>
      <c r="BL12" s="92" t="str">
        <f>CONCATENATE( IF('اسفند 402'!BL16=1,"ص‌‌",""),IF('اسفند 402'!BM16=1,"ص‌'",""),IF('اسفند 402'!BL17=1,"ع‌",""),IF('اسفند 402'!BM17=1,"ع‌",""),IF('اسفند 402'!BL18=1,"ش‌",""),IF('اسفند 402'!BM18=1,"ش'‌",""), IF('اسفند 402'!BL16="*","",""), IF('اسفند 402'!BL16="@","*",""))</f>
        <v/>
      </c>
      <c r="BM12" s="92"/>
      <c r="BN12" s="93" t="str">
        <f>CONCATENATE( IF('اسفند 402'!BN16=1,"ص‌‌",""),IF('اسفند 402'!BO16=1,"ص‌'",""),IF('اسفند 402'!BN17=1,"ع‌",""),IF('اسفند 402'!BO17=1,"ع‌",""),IF('اسفند 402'!BN18=1,"ش‌",""),IF('اسفند 402'!BO18=1,"ش'‌",""), IF('اسفند 402'!BN16="*","",""), IF('اسفند 402'!BN16="@","*",""))</f>
        <v/>
      </c>
      <c r="BO12" s="93"/>
      <c r="BP12" s="83">
        <f>'اسفند 402'!C17</f>
        <v>15</v>
      </c>
    </row>
    <row r="13" spans="1:69" s="32" customFormat="1" ht="6" customHeight="1" x14ac:dyDescent="0.25">
      <c r="A13" s="88"/>
      <c r="B13" s="83"/>
      <c r="C13" s="83"/>
      <c r="D13" s="83"/>
      <c r="E13" s="83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3"/>
      <c r="AM13" s="93"/>
      <c r="AN13" s="92"/>
      <c r="AO13" s="92"/>
      <c r="AP13" s="92"/>
      <c r="AQ13" s="92"/>
      <c r="AR13" s="92"/>
      <c r="AS13" s="92"/>
      <c r="AT13" s="92"/>
      <c r="AU13" s="92"/>
      <c r="AV13" s="93"/>
      <c r="AW13" s="93"/>
      <c r="AX13" s="93"/>
      <c r="AY13" s="93"/>
      <c r="AZ13" s="93"/>
      <c r="BA13" s="93"/>
      <c r="BB13" s="92"/>
      <c r="BC13" s="92"/>
      <c r="BD13" s="92"/>
      <c r="BE13" s="92"/>
      <c r="BF13" s="92"/>
      <c r="BG13" s="92"/>
      <c r="BH13" s="92"/>
      <c r="BI13" s="92"/>
      <c r="BJ13" s="92"/>
      <c r="BK13" s="92"/>
      <c r="BL13" s="92"/>
      <c r="BM13" s="92"/>
      <c r="BN13" s="93"/>
      <c r="BO13" s="93"/>
      <c r="BP13" s="83"/>
    </row>
    <row r="14" spans="1:69" s="32" customFormat="1" ht="6" customHeight="1" x14ac:dyDescent="0.25">
      <c r="A14" s="88"/>
      <c r="B14" s="83"/>
      <c r="C14" s="83"/>
      <c r="D14" s="83"/>
      <c r="E14" s="83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3"/>
      <c r="AM14" s="93"/>
      <c r="AN14" s="92"/>
      <c r="AO14" s="92"/>
      <c r="AP14" s="92"/>
      <c r="AQ14" s="92"/>
      <c r="AR14" s="92"/>
      <c r="AS14" s="92"/>
      <c r="AT14" s="92"/>
      <c r="AU14" s="92"/>
      <c r="AV14" s="93"/>
      <c r="AW14" s="93"/>
      <c r="AX14" s="93"/>
      <c r="AY14" s="93"/>
      <c r="AZ14" s="93"/>
      <c r="BA14" s="93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3"/>
      <c r="BO14" s="93"/>
      <c r="BP14" s="83"/>
    </row>
    <row r="15" spans="1:69" s="33" customFormat="1" ht="6" customHeight="1" x14ac:dyDescent="0.25">
      <c r="A15" s="88"/>
      <c r="B15" s="83">
        <v>5</v>
      </c>
      <c r="C15" s="83" t="str">
        <f>'اسفند 402'!B19</f>
        <v>x4</v>
      </c>
      <c r="D15" s="83" t="s">
        <v>28</v>
      </c>
      <c r="E15" s="83">
        <v>7.2</v>
      </c>
      <c r="F15" s="92" t="str">
        <f>CONCATENATE( IF('اسفند 402'!F19=1,"ص‌‌",""),IF('اسفند 402'!G19=1,"ص‌'",""),IF('اسفند 402'!F20=1,"ع‌",""),IF('اسفند 402'!G20=1,"ع‌",""),IF('اسفند 402'!F21=1,"ش‌",""),IF('اسفند 402'!G21=1,"ش'‌",""), IF('اسفند 402'!F19="*","",""), IF('اسفند 402'!F19="@","*",""))</f>
        <v>ع‌</v>
      </c>
      <c r="G15" s="92"/>
      <c r="H15" s="92" t="str">
        <f>CONCATENATE( IF('اسفند 402'!H19=1,"ص‌‌",""),IF('اسفند 402'!I19=1,"ص‌'",""),IF('اسفند 402'!H20=1,"ع‌",""),IF('اسفند 402'!I20=1,"ع‌",""),IF('اسفند 402'!H21=1,"ش‌",""),IF('اسفند 402'!I21=1,"ش'‌",""), IF('اسفند 402'!H19="*","",""), IF('اسفند 402'!H19="@","*",""))</f>
        <v/>
      </c>
      <c r="I15" s="92"/>
      <c r="J15" s="92" t="str">
        <f>CONCATENATE( IF('اسفند 402'!J19=1,"ص‌‌",""),IF('اسفند 402'!K19=1,"ص‌'",""),IF('اسفند 402'!J20=1,"ع‌",""),IF('اسفند 402'!K20=1,"ع‌",""),IF('اسفند 402'!J21=1,"ش‌",""),IF('اسفند 402'!K21=1,"ش'‌",""), IF('اسفند 402'!J19="*","",""), IF('اسفند 402'!J19="@","*",""))</f>
        <v/>
      </c>
      <c r="K15" s="92"/>
      <c r="L15" s="92" t="str">
        <f>CONCATENATE( IF('اسفند 402'!L19=1,"ص‌‌",""),IF('اسفند 402'!M19=1,"ص‌'",""),IF('اسفند 402'!L20=1,"ع‌",""),IF('اسفند 402'!M20=1,"ع‌",""),IF('اسفند 402'!L21=1,"ش‌",""),IF('اسفند 402'!M21=1,"ش'‌",""), IF('اسفند 402'!L19="*","",""), IF('اسفند 402'!L19="@","*",""))</f>
        <v>ص‌‌ش‌</v>
      </c>
      <c r="M15" s="92"/>
      <c r="N15" s="92" t="str">
        <f>CONCATENATE( IF('اسفند 402'!N19=1,"ص‌‌",""),IF('اسفند 402'!O19=1,"ص‌'",""),IF('اسفند 402'!N20=1,"ع‌",""),IF('اسفند 402'!O20=1,"ع‌",""),IF('اسفند 402'!N21=1,"ش‌",""),IF('اسفند 402'!O21=1,"ش'‌",""), IF('اسفند 402'!N19="*","",""), IF('اسفند 402'!N19="@","*",""))</f>
        <v/>
      </c>
      <c r="O15" s="92"/>
      <c r="P15" s="92" t="str">
        <f>CONCATENATE( IF('اسفند 402'!P19=1,"ص‌‌",""),IF('اسفند 402'!Q19=1,"ص‌'",""),IF('اسفند 402'!P20=1,"ع‌",""),IF('اسفند 402'!Q20=1,"ع‌",""),IF('اسفند 402'!P21=1,"ش‌",""),IF('اسفند 402'!Q21=1,"ش'‌",""), IF('اسفند 402'!P19="*","",""), IF('اسفند 402'!P19="@","*",""))</f>
        <v>ص‌‌</v>
      </c>
      <c r="Q15" s="92"/>
      <c r="R15" s="92" t="str">
        <f>CONCATENATE( IF('اسفند 402'!R19=1,"ص‌‌",""),IF('اسفند 402'!S19=1,"ص‌'",""),IF('اسفند 402'!R20=1,"ع‌",""),IF('اسفند 402'!S20=1,"ع‌",""),IF('اسفند 402'!R21=1,"ش‌",""),IF('اسفند 402'!S21=1,"ش'‌",""), IF('اسفند 402'!R19="*","",""), IF('اسفند 402'!R19="@","*",""))</f>
        <v>ش‌</v>
      </c>
      <c r="S15" s="92"/>
      <c r="T15" s="92" t="str">
        <f>CONCATENATE( IF('اسفند 402'!T19=1,"ص‌‌",""),IF('اسفند 402'!U19=1,"ص‌'",""),IF('اسفند 402'!T20=1,"ع‌",""),IF('اسفند 402'!U20=1,"ع‌",""),IF('اسفند 402'!T21=1,"ش‌",""),IF('اسفند 402'!U21=1,"ش'‌",""), IF('اسفند 402'!T19="*","",""), IF('اسفند 402'!T19="@","*",""))</f>
        <v/>
      </c>
      <c r="U15" s="92"/>
      <c r="V15" s="92" t="str">
        <f>CONCATENATE( IF('اسفند 402'!V19=1,"ص‌‌",""),IF('اسفند 402'!W19=1,"ص‌'",""),IF('اسفند 402'!V20=1,"ع‌",""),IF('اسفند 402'!W20=1,"ع‌",""),IF('اسفند 402'!V21=1,"ش‌",""),IF('اسفند 402'!W21=1,"ش'‌",""), IF('اسفند 402'!V19="*","",""), IF('اسفند 402'!V19="@","*",""))</f>
        <v>ش‌</v>
      </c>
      <c r="W15" s="92"/>
      <c r="X15" s="92" t="str">
        <f>CONCATENATE( IF('اسفند 402'!X19=1,"ص‌‌",""),IF('اسفند 402'!Y19=1,"ص‌'",""),IF('اسفند 402'!X20=1,"ع‌",""),IF('اسفند 402'!Y20=1,"ع‌",""),IF('اسفند 402'!X21=1,"ش‌",""),IF('اسفند 402'!Y21=1,"ش'‌",""), IF('اسفند 402'!X19="*","",""), IF('اسفند 402'!X19="@","*",""))</f>
        <v/>
      </c>
      <c r="Y15" s="92"/>
      <c r="Z15" s="92" t="str">
        <f>CONCATENATE( IF('اسفند 402'!Z19=1,"ص‌‌",""),IF('اسفند 402'!AA19=1,"ص‌'",""),IF('اسفند 402'!Z20=1,"ع‌",""),IF('اسفند 402'!AA20=1,"ع‌",""),IF('اسفند 402'!Z21=1,"ش‌",""),IF('اسفند 402'!AA21=1,"ش'‌",""), IF('اسفند 402'!Z19="*","",""), IF('اسفند 402'!Z19="@","*",""))</f>
        <v>ش‌</v>
      </c>
      <c r="AA15" s="92"/>
      <c r="AB15" s="92" t="str">
        <f>CONCATENATE( IF('اسفند 402'!AB19=1,"ص‌‌",""),IF('اسفند 402'!AC19=1,"ص‌'",""),IF('اسفند 402'!AB20=1,"ع‌",""),IF('اسفند 402'!AC20=1,"ع‌",""),IF('اسفند 402'!AB21=1,"ش‌",""),IF('اسفند 402'!AC21=1,"ش'‌",""), IF('اسفند 402'!AB19="*","",""), IF('اسفند 402'!AB19="@","*",""))</f>
        <v/>
      </c>
      <c r="AC15" s="92"/>
      <c r="AD15" s="92" t="str">
        <f>CONCATENATE( IF('اسفند 402'!AD19=1,"ص‌‌",""),IF('اسفند 402'!AE19=1,"ص‌'",""),IF('اسفند 402'!AD20=1,"ع‌",""),IF('اسفند 402'!AE20=1,"ع‌",""),IF('اسفند 402'!AD21=1,"ش‌",""),IF('اسفند 402'!AE21=1,"ش'‌",""), IF('اسفند 402'!AD19="*","",""), IF('اسفند 402'!AD19="@","*",""))</f>
        <v/>
      </c>
      <c r="AE15" s="92"/>
      <c r="AF15" s="92" t="str">
        <f>CONCATENATE( IF('اسفند 402'!AF19=1,"ص‌‌",""),IF('اسفند 402'!AG19=1,"ص‌'",""),IF('اسفند 402'!AF20=1,"ع‌",""),IF('اسفند 402'!AG20=1,"ع‌",""),IF('اسفند 402'!AF21=1,"ش‌",""),IF('اسفند 402'!AG21=1,"ش'‌",""), IF('اسفند 402'!AF19="*","",""), IF('اسفند 402'!AF19="@","*",""))</f>
        <v/>
      </c>
      <c r="AG15" s="92"/>
      <c r="AH15" s="92" t="str">
        <f>CONCATENATE( IF('اسفند 402'!AH19=1,"ص‌‌",""),IF('اسفند 402'!AI19=1,"ص‌'",""),IF('اسفند 402'!AH20=1,"ع‌",""),IF('اسفند 402'!AI20=1,"ع‌",""),IF('اسفند 402'!AH21=1,"ش‌",""),IF('اسفند 402'!AI21=1,"ش'‌",""), IF('اسفند 402'!AH19="*","",""), IF('اسفند 402'!AH19="@","*",""))</f>
        <v>ص‌‌ش‌</v>
      </c>
      <c r="AI15" s="92"/>
      <c r="AJ15" s="92" t="str">
        <f>CONCATENATE( IF('اسفند 402'!AJ19=1,"ص‌‌",""),IF('اسفند 402'!AK19=1,"ص‌'",""),IF('اسفند 402'!AJ20=1,"ع‌",""),IF('اسفند 402'!AK20=1,"ع‌",""),IF('اسفند 402'!AJ21=1,"ش‌",""),IF('اسفند 402'!AK21=1,"ش'‌",""), IF('اسفند 402'!AJ19="*","",""), IF('اسفند 402'!AJ19="@","*",""))</f>
        <v/>
      </c>
      <c r="AK15" s="92"/>
      <c r="AL15" s="93" t="str">
        <f>CONCATENATE( IF('اسفند 402'!AL19=1,"ص‌‌",""),IF('اسفند 402'!AM19=1,"ص‌'",""),IF('اسفند 402'!AL20=1,"ع‌",""),IF('اسفند 402'!AM20=1,"ع‌",""),IF('اسفند 402'!AL21=1,"ش‌",""),IF('اسفند 402'!AM21=1,"ش'‌",""), IF('اسفند 402'!AL19="*","",""), IF('اسفند 402'!AL19="@","*",""))</f>
        <v/>
      </c>
      <c r="AM15" s="93"/>
      <c r="AN15" s="92" t="str">
        <f>CONCATENATE( IF('اسفند 402'!AN19=1,"ص‌‌",""),IF('اسفند 402'!AO19=1,"ص‌'",""),IF('اسفند 402'!AN20=1,"ع‌",""),IF('اسفند 402'!AO20=1,"ع‌",""),IF('اسفند 402'!AN21=1,"ش‌",""),IF('اسفند 402'!AO21=1,"ش'‌",""), IF('اسفند 402'!AN19="*","",""), IF('اسفند 402'!AN19="@","*",""))</f>
        <v/>
      </c>
      <c r="AO15" s="92"/>
      <c r="AP15" s="92" t="str">
        <f>CONCATENATE( IF('اسفند 402'!AP19=1,"ص‌‌",""),IF('اسفند 402'!AQ19=1,"ص‌'",""),IF('اسفند 402'!AP20=1,"ع‌",""),IF('اسفند 402'!AQ20=1,"ع‌",""),IF('اسفند 402'!AP21=1,"ش‌",""),IF('اسفند 402'!AQ21=1,"ش'‌",""), IF('اسفند 402'!AP19="*","",""), IF('اسفند 402'!AP19="@","*",""))</f>
        <v/>
      </c>
      <c r="AQ15" s="92"/>
      <c r="AR15" s="92" t="str">
        <f>CONCATENATE( IF('اسفند 402'!AR19=1,"ص‌‌",""),IF('اسفند 402'!AS19=1,"ص‌'",""),IF('اسفند 402'!AR20=1,"ع‌",""),IF('اسفند 402'!AS20=1,"ع‌",""),IF('اسفند 402'!AR21=1,"ش‌",""),IF('اسفند 402'!AS21=1,"ش'‌",""), IF('اسفند 402'!AR19="*","",""), IF('اسفند 402'!AR19="@","*",""))</f>
        <v/>
      </c>
      <c r="AS15" s="92"/>
      <c r="AT15" s="92" t="str">
        <f>CONCATENATE( IF('اسفند 402'!AT19=1,"ص‌‌",""),IF('اسفند 402'!AU19=1,"ص‌'",""),IF('اسفند 402'!AT20=1,"ع‌",""),IF('اسفند 402'!AU20=1,"ع‌",""),IF('اسفند 402'!AT21=1,"ش‌",""),IF('اسفند 402'!AU21=1,"ش'‌",""), IF('اسفند 402'!AT19="*","",""), IF('اسفند 402'!AT19="@","*",""))</f>
        <v/>
      </c>
      <c r="AU15" s="92"/>
      <c r="AV15" s="93" t="str">
        <f>CONCATENATE( IF('اسفند 402'!AV19=1,"ص‌‌",""),IF('اسفند 402'!AW19=1,"ص‌'",""),IF('اسفند 402'!AV20=1,"ع‌",""),IF('اسفند 402'!AW20=1,"ع‌",""),IF('اسفند 402'!AV21=1,"ش‌",""),IF('اسفند 402'!AW21=1,"ش'‌",""), IF('اسفند 402'!AV19="*","",""), IF('اسفند 402'!AV19="@","*",""))</f>
        <v/>
      </c>
      <c r="AW15" s="93"/>
      <c r="AX15" s="93" t="str">
        <f>CONCATENATE( IF('اسفند 402'!AX19=1,"ص‌‌",""),IF('اسفند 402'!AY19=1,"ص‌'",""),IF('اسفند 402'!AX20=1,"ع‌",""),IF('اسفند 402'!AY20=1,"ع‌",""),IF('اسفند 402'!AX21=1,"ش‌",""),IF('اسفند 402'!AY21=1,"ش'‌",""), IF('اسفند 402'!AX19="*","",""), IF('اسفند 402'!AX19="@","*",""))</f>
        <v>ص‌‌ع‌</v>
      </c>
      <c r="AY15" s="93"/>
      <c r="AZ15" s="93" t="str">
        <f>CONCATENATE( IF('اسفند 402'!AZ19=1,"ص‌‌",""),IF('اسفند 402'!BA19=1,"ص‌'",""),IF('اسفند 402'!AZ20=1,"ع‌",""),IF('اسفند 402'!BA20=1,"ع‌",""),IF('اسفند 402'!AZ21=1,"ش‌",""),IF('اسفند 402'!BA21=1,"ش'‌",""), IF('اسفند 402'!AZ19="*","",""), IF('اسفند 402'!AZ19="@","*",""))</f>
        <v/>
      </c>
      <c r="BA15" s="93"/>
      <c r="BB15" s="92" t="str">
        <f>CONCATENATE( IF('اسفند 402'!BB19=1,"ص‌‌",""),IF('اسفند 402'!BC19=1,"ص‌'",""),IF('اسفند 402'!BB20=1,"ع‌",""),IF('اسفند 402'!BC20=1,"ع‌",""),IF('اسفند 402'!BB21=1,"ش‌",""),IF('اسفند 402'!BC21=1,"ش'‌",""), IF('اسفند 402'!BB19="*","",""), IF('اسفند 402'!BB19="@","*",""))</f>
        <v>ص‌‌ع‌</v>
      </c>
      <c r="BC15" s="92"/>
      <c r="BD15" s="92" t="str">
        <f>CONCATENATE( IF('اسفند 402'!BD19=1,"ص‌‌",""),IF('اسفند 402'!BE19=1,"ص‌'",""),IF('اسفند 402'!BD20=1,"ع‌",""),IF('اسفند 402'!BE20=1,"ع‌",""),IF('اسفند 402'!BD21=1,"ش‌",""),IF('اسفند 402'!BE21=1,"ش'‌",""), IF('اسفند 402'!BD19="*","",""), IF('اسفند 402'!BD19="@","*",""))</f>
        <v/>
      </c>
      <c r="BE15" s="92"/>
      <c r="BF15" s="92" t="str">
        <f>CONCATENATE( IF('اسفند 402'!BF19=1,"ص‌‌",""),IF('اسفند 402'!BG19=1,"ص‌'",""),IF('اسفند 402'!BF20=1,"ع‌",""),IF('اسفند 402'!BG20=1,"ع‌",""),IF('اسفند 402'!BF21=1,"ش‌",""),IF('اسفند 402'!BG21=1,"ش'‌",""), IF('اسفند 402'!BF19="*","",""), IF('اسفند 402'!BF19="@","*",""))</f>
        <v>ص‌‌ع‌</v>
      </c>
      <c r="BG15" s="92"/>
      <c r="BH15" s="92" t="str">
        <f>CONCATENATE( IF('اسفند 402'!BH19=1,"ص‌‌",""),IF('اسفند 402'!BI19=1,"ص‌'",""),IF('اسفند 402'!BH20=1,"ع‌",""),IF('اسفند 402'!BI20=1,"ع‌",""),IF('اسفند 402'!BH21=1,"ش‌",""),IF('اسفند 402'!BI21=1,"ش'‌",""), IF('اسفند 402'!BH19="*","",""), IF('اسفند 402'!BH19="@","*",""))</f>
        <v>ش‌</v>
      </c>
      <c r="BI15" s="92"/>
      <c r="BJ15" s="92" t="str">
        <f>CONCATENATE( IF('اسفند 402'!BJ19=1,"ص‌‌",""),IF('اسفند 402'!BK19=1,"ص‌'",""),IF('اسفند 402'!BJ20=1,"ع‌",""),IF('اسفند 402'!BK20=1,"ع‌",""),IF('اسفند 402'!BJ21=1,"ش‌",""),IF('اسفند 402'!BK21=1,"ش'‌",""), IF('اسفند 402'!BJ19="*","",""), IF('اسفند 402'!BJ19="@","*",""))</f>
        <v/>
      </c>
      <c r="BK15" s="92"/>
      <c r="BL15" s="92" t="str">
        <f>CONCATENATE( IF('اسفند 402'!BL19=1,"ص‌‌",""),IF('اسفند 402'!BM19=1,"ص‌'",""),IF('اسفند 402'!BL20=1,"ع‌",""),IF('اسفند 402'!BM20=1,"ع‌",""),IF('اسفند 402'!BL21=1,"ش‌",""),IF('اسفند 402'!BM21=1,"ش'‌",""), IF('اسفند 402'!BL19="*","",""), IF('اسفند 402'!BL19="@","*",""))</f>
        <v/>
      </c>
      <c r="BM15" s="92"/>
      <c r="BN15" s="93" t="str">
        <f>CONCATENATE( IF('اسفند 402'!BN19=1,"ص‌‌",""),IF('اسفند 402'!BO19=1,"ص‌'",""),IF('اسفند 402'!BN20=1,"ع‌",""),IF('اسفند 402'!BO20=1,"ع‌",""),IF('اسفند 402'!BN21=1,"ش‌",""),IF('اسفند 402'!BO21=1,"ش'‌",""), IF('اسفند 402'!BN19="*","",""), IF('اسفند 402'!BN19="@","*",""))</f>
        <v>ص‌‌ع‌</v>
      </c>
      <c r="BO15" s="93"/>
      <c r="BP15" s="83">
        <f>'اسفند 402'!C20</f>
        <v>24</v>
      </c>
    </row>
    <row r="16" spans="1:69" s="33" customFormat="1" ht="6" customHeight="1" x14ac:dyDescent="0.25">
      <c r="A16" s="88"/>
      <c r="B16" s="83"/>
      <c r="C16" s="83"/>
      <c r="D16" s="83"/>
      <c r="E16" s="83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3"/>
      <c r="AM16" s="93"/>
      <c r="AN16" s="92"/>
      <c r="AO16" s="92"/>
      <c r="AP16" s="92"/>
      <c r="AQ16" s="92"/>
      <c r="AR16" s="92"/>
      <c r="AS16" s="92"/>
      <c r="AT16" s="92"/>
      <c r="AU16" s="92"/>
      <c r="AV16" s="93"/>
      <c r="AW16" s="93"/>
      <c r="AX16" s="93"/>
      <c r="AY16" s="93"/>
      <c r="AZ16" s="93"/>
      <c r="BA16" s="93"/>
      <c r="BB16" s="92"/>
      <c r="BC16" s="92"/>
      <c r="BD16" s="92"/>
      <c r="BE16" s="92"/>
      <c r="BF16" s="92"/>
      <c r="BG16" s="92"/>
      <c r="BH16" s="92"/>
      <c r="BI16" s="92"/>
      <c r="BJ16" s="92"/>
      <c r="BK16" s="92"/>
      <c r="BL16" s="92"/>
      <c r="BM16" s="92"/>
      <c r="BN16" s="93"/>
      <c r="BO16" s="93"/>
      <c r="BP16" s="83"/>
    </row>
    <row r="17" spans="1:68" s="33" customFormat="1" ht="6" customHeight="1" x14ac:dyDescent="0.25">
      <c r="A17" s="88"/>
      <c r="B17" s="83"/>
      <c r="C17" s="83"/>
      <c r="D17" s="83"/>
      <c r="E17" s="83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3"/>
      <c r="AM17" s="93"/>
      <c r="AN17" s="92"/>
      <c r="AO17" s="92"/>
      <c r="AP17" s="92"/>
      <c r="AQ17" s="92"/>
      <c r="AR17" s="92"/>
      <c r="AS17" s="92"/>
      <c r="AT17" s="92"/>
      <c r="AU17" s="92"/>
      <c r="AV17" s="93"/>
      <c r="AW17" s="93"/>
      <c r="AX17" s="93"/>
      <c r="AY17" s="93"/>
      <c r="AZ17" s="93"/>
      <c r="BA17" s="93"/>
      <c r="BB17" s="92"/>
      <c r="BC17" s="92"/>
      <c r="BD17" s="92"/>
      <c r="BE17" s="92"/>
      <c r="BF17" s="92"/>
      <c r="BG17" s="92"/>
      <c r="BH17" s="92"/>
      <c r="BI17" s="92"/>
      <c r="BJ17" s="92"/>
      <c r="BK17" s="92"/>
      <c r="BL17" s="92"/>
      <c r="BM17" s="92"/>
      <c r="BN17" s="93"/>
      <c r="BO17" s="93"/>
      <c r="BP17" s="83"/>
    </row>
    <row r="18" spans="1:68" s="32" customFormat="1" ht="6" customHeight="1" x14ac:dyDescent="0.25">
      <c r="A18" s="88"/>
      <c r="B18" s="83">
        <v>6</v>
      </c>
      <c r="C18" s="83" t="str">
        <f>'اسفند 402'!B22</f>
        <v>x5</v>
      </c>
      <c r="D18" s="83" t="s">
        <v>28</v>
      </c>
      <c r="E18" s="83">
        <v>6.9</v>
      </c>
      <c r="F18" s="92" t="str">
        <f>CONCATENATE( IF('اسفند 402'!F22=1,"ص‌‌",""),IF('اسفند 402'!G22=1,"ص‌'",""),IF('اسفند 402'!F23=1,"ع‌",""),IF('اسفند 402'!G23=1,"ع‌",""),IF('اسفند 402'!F24=1,"ش‌",""),IF('اسفند 402'!G24=1,"ش'‌",""), IF('اسفند 402'!F22="*","",""), IF('اسفند 402'!F22="@","*",""))</f>
        <v>ص‌‌</v>
      </c>
      <c r="G18" s="92"/>
      <c r="H18" s="92" t="str">
        <f>CONCATENATE( IF('اسفند 402'!H22=1,"ص‌‌",""),IF('اسفند 402'!I22=1,"ص‌'",""),IF('اسفند 402'!H23=1,"ع‌",""),IF('اسفند 402'!I23=1,"ع‌",""),IF('اسفند 402'!H24=1,"ش‌",""),IF('اسفند 402'!I24=1,"ش'‌",""), IF('اسفند 402'!H22="*","",""), IF('اسفند 402'!H22="@","*",""))</f>
        <v>ص‌‌</v>
      </c>
      <c r="I18" s="92"/>
      <c r="J18" s="92" t="str">
        <f>CONCATENATE( IF('اسفند 402'!J22=1,"ص‌‌",""),IF('اسفند 402'!K22=1,"ص‌'",""),IF('اسفند 402'!J23=1,"ع‌",""),IF('اسفند 402'!K23=1,"ع‌",""),IF('اسفند 402'!J24=1,"ش‌",""),IF('اسفند 402'!K24=1,"ش'‌",""), IF('اسفند 402'!J22="*","",""), IF('اسفند 402'!J22="@","*",""))</f>
        <v>ش‌</v>
      </c>
      <c r="K18" s="92"/>
      <c r="L18" s="92" t="str">
        <f>CONCATENATE( IF('اسفند 402'!L22=1,"ص‌‌",""),IF('اسفند 402'!M22=1,"ص‌'",""),IF('اسفند 402'!L23=1,"ع‌",""),IF('اسفند 402'!M23=1,"ع‌",""),IF('اسفند 402'!L24=1,"ش‌",""),IF('اسفند 402'!M24=1,"ش'‌",""), IF('اسفند 402'!L22="*","",""), IF('اسفند 402'!L22="@","*",""))</f>
        <v/>
      </c>
      <c r="M18" s="92"/>
      <c r="N18" s="92" t="str">
        <f>CONCATENATE( IF('اسفند 402'!N22=1,"ص‌‌",""),IF('اسفند 402'!O22=1,"ص‌'",""),IF('اسفند 402'!N23=1,"ع‌",""),IF('اسفند 402'!O23=1,"ع‌",""),IF('اسفند 402'!N24=1,"ش‌",""),IF('اسفند 402'!O24=1,"ش'‌",""), IF('اسفند 402'!N22="*","",""), IF('اسفند 402'!N22="@","*",""))</f>
        <v/>
      </c>
      <c r="O18" s="92"/>
      <c r="P18" s="92" t="str">
        <f>CONCATENATE( IF('اسفند 402'!P22=1,"ص‌‌",""),IF('اسفند 402'!Q22=1,"ص‌'",""),IF('اسفند 402'!P23=1,"ع‌",""),IF('اسفند 402'!Q23=1,"ع‌",""),IF('اسفند 402'!P24=1,"ش‌",""),IF('اسفند 402'!Q24=1,"ش'‌",""), IF('اسفند 402'!P22="*","",""), IF('اسفند 402'!P22="@","*",""))</f>
        <v>ص‌‌</v>
      </c>
      <c r="Q18" s="92"/>
      <c r="R18" s="92" t="str">
        <f>CONCATENATE( IF('اسفند 402'!R22=1,"ص‌‌",""),IF('اسفند 402'!S22=1,"ص‌'",""),IF('اسفند 402'!R23=1,"ع‌",""),IF('اسفند 402'!S23=1,"ع‌",""),IF('اسفند 402'!R24=1,"ش‌",""),IF('اسفند 402'!S24=1,"ش'‌",""), IF('اسفند 402'!R22="*","",""), IF('اسفند 402'!R22="@","*",""))</f>
        <v/>
      </c>
      <c r="S18" s="92"/>
      <c r="T18" s="92" t="str">
        <f>CONCATENATE( IF('اسفند 402'!T22=1,"ص‌‌",""),IF('اسفند 402'!U22=1,"ص‌'",""),IF('اسفند 402'!T23=1,"ع‌",""),IF('اسفند 402'!U23=1,"ع‌",""),IF('اسفند 402'!T24=1,"ش‌",""),IF('اسفند 402'!U24=1,"ش'‌",""), IF('اسفند 402'!T22="*","",""), IF('اسفند 402'!T22="@","*",""))</f>
        <v/>
      </c>
      <c r="U18" s="92"/>
      <c r="V18" s="92" t="str">
        <f>CONCATENATE( IF('اسفند 402'!V22=1,"ص‌‌",""),IF('اسفند 402'!W22=1,"ص‌'",""),IF('اسفند 402'!V23=1,"ع‌",""),IF('اسفند 402'!W23=1,"ع‌",""),IF('اسفند 402'!V24=1,"ش‌",""),IF('اسفند 402'!W24=1,"ش'‌",""), IF('اسفند 402'!V22="*","",""), IF('اسفند 402'!V22="@","*",""))</f>
        <v/>
      </c>
      <c r="W18" s="92"/>
      <c r="X18" s="92" t="str">
        <f>CONCATENATE( IF('اسفند 402'!X22=1,"ص‌‌",""),IF('اسفند 402'!Y22=1,"ص‌'",""),IF('اسفند 402'!X23=1,"ع‌",""),IF('اسفند 402'!Y23=1,"ع‌",""),IF('اسفند 402'!X24=1,"ش‌",""),IF('اسفند 402'!Y24=1,"ش'‌",""), IF('اسفند 402'!X22="*","",""), IF('اسفند 402'!X22="@","*",""))</f>
        <v>ش‌</v>
      </c>
      <c r="Y18" s="92"/>
      <c r="Z18" s="92" t="str">
        <f>CONCATENATE( IF('اسفند 402'!Z22=1,"ص‌‌",""),IF('اسفند 402'!AA22=1,"ص‌'",""),IF('اسفند 402'!Z23=1,"ع‌",""),IF('اسفند 402'!AA23=1,"ع‌",""),IF('اسفند 402'!Z24=1,"ش‌",""),IF('اسفند 402'!AA24=1,"ش'‌",""), IF('اسفند 402'!Z22="*","",""), IF('اسفند 402'!Z22="@","*",""))</f>
        <v/>
      </c>
      <c r="AA18" s="92"/>
      <c r="AB18" s="92" t="str">
        <f>CONCATENATE( IF('اسفند 402'!AB22=1,"ص‌‌",""),IF('اسفند 402'!AC22=1,"ص‌'",""),IF('اسفند 402'!AB23=1,"ع‌",""),IF('اسفند 402'!AC23=1,"ع‌",""),IF('اسفند 402'!AB24=1,"ش‌",""),IF('اسفند 402'!AC24=1,"ش'‌",""), IF('اسفند 402'!AB22="*","",""), IF('اسفند 402'!AB22="@","*",""))</f>
        <v/>
      </c>
      <c r="AC18" s="92"/>
      <c r="AD18" s="92" t="str">
        <f>CONCATENATE( IF('اسفند 402'!AD22=1,"ص‌‌",""),IF('اسفند 402'!AE22=1,"ص‌'",""),IF('اسفند 402'!AD23=1,"ع‌",""),IF('اسفند 402'!AE23=1,"ع‌",""),IF('اسفند 402'!AD24=1,"ش‌",""),IF('اسفند 402'!AE24=1,"ش'‌",""), IF('اسفند 402'!AD22="*","",""), IF('اسفند 402'!AD22="@","*",""))</f>
        <v>ع‌ش‌</v>
      </c>
      <c r="AE18" s="92"/>
      <c r="AF18" s="92" t="str">
        <f>CONCATENATE( IF('اسفند 402'!AF22=1,"ص‌‌",""),IF('اسفند 402'!AG22=1,"ص‌'",""),IF('اسفند 402'!AF23=1,"ع‌",""),IF('اسفند 402'!AG23=1,"ع‌",""),IF('اسفند 402'!AF24=1,"ش‌",""),IF('اسفند 402'!AG24=1,"ش'‌",""), IF('اسفند 402'!AF22="*","",""), IF('اسفند 402'!AF22="@","*",""))</f>
        <v/>
      </c>
      <c r="AG18" s="92"/>
      <c r="AH18" s="92" t="str">
        <f>CONCATENATE( IF('اسفند 402'!AH22=1,"ص‌‌",""),IF('اسفند 402'!AI22=1,"ص‌'",""),IF('اسفند 402'!AH23=1,"ع‌",""),IF('اسفند 402'!AI23=1,"ع‌",""),IF('اسفند 402'!AH24=1,"ش‌",""),IF('اسفند 402'!AI24=1,"ش'‌",""), IF('اسفند 402'!AH22="*","",""), IF('اسفند 402'!AH22="@","*",""))</f>
        <v/>
      </c>
      <c r="AI18" s="92"/>
      <c r="AJ18" s="92" t="str">
        <f>CONCATENATE( IF('اسفند 402'!AJ22=1,"ص‌‌",""),IF('اسفند 402'!AK22=1,"ص‌'",""),IF('اسفند 402'!AJ23=1,"ع‌",""),IF('اسفند 402'!AK23=1,"ع‌",""),IF('اسفند 402'!AJ24=1,"ش‌",""),IF('اسفند 402'!AK24=1,"ش'‌",""), IF('اسفند 402'!AJ22="*","",""), IF('اسفند 402'!AJ22="@","*",""))</f>
        <v>ص‌‌</v>
      </c>
      <c r="AK18" s="92"/>
      <c r="AL18" s="93" t="str">
        <f>CONCATENATE( IF('اسفند 402'!AL22=1,"ص‌‌",""),IF('اسفند 402'!AM22=1,"ص‌'",""),IF('اسفند 402'!AL23=1,"ع‌",""),IF('اسفند 402'!AM23=1,"ع‌",""),IF('اسفند 402'!AL24=1,"ش‌",""),IF('اسفند 402'!AM24=1,"ش'‌",""), IF('اسفند 402'!AL22="*","",""), IF('اسفند 402'!AL22="@","*",""))</f>
        <v/>
      </c>
      <c r="AM18" s="93"/>
      <c r="AN18" s="92" t="str">
        <f>CONCATENATE( IF('اسفند 402'!AN22=1,"ص‌‌",""),IF('اسفند 402'!AO22=1,"ص‌'",""),IF('اسفند 402'!AN23=1,"ع‌",""),IF('اسفند 402'!AO23=1,"ع‌",""),IF('اسفند 402'!AN24=1,"ش‌",""),IF('اسفند 402'!AO24=1,"ش'‌",""), IF('اسفند 402'!AN22="*","",""), IF('اسفند 402'!AN22="@","*",""))</f>
        <v/>
      </c>
      <c r="AO18" s="92"/>
      <c r="AP18" s="92" t="str">
        <f>CONCATENATE( IF('اسفند 402'!AP22=1,"ص‌‌",""),IF('اسفند 402'!AQ22=1,"ص‌'",""),IF('اسفند 402'!AP23=1,"ع‌",""),IF('اسفند 402'!AQ23=1,"ع‌",""),IF('اسفند 402'!AP24=1,"ش‌",""),IF('اسفند 402'!AQ24=1,"ش'‌",""), IF('اسفند 402'!AP22="*","",""), IF('اسفند 402'!AP22="@","*",""))</f>
        <v>ص‌‌</v>
      </c>
      <c r="AQ18" s="92"/>
      <c r="AR18" s="92" t="str">
        <f>CONCATENATE( IF('اسفند 402'!AR22=1,"ص‌‌",""),IF('اسفند 402'!AS22=1,"ص‌'",""),IF('اسفند 402'!AR23=1,"ع‌",""),IF('اسفند 402'!AS23=1,"ع‌",""),IF('اسفند 402'!AR24=1,"ش‌",""),IF('اسفند 402'!AS24=1,"ش'‌",""), IF('اسفند 402'!AR22="*","",""), IF('اسفند 402'!AR22="@","*",""))</f>
        <v>ش‌</v>
      </c>
      <c r="AS18" s="92"/>
      <c r="AT18" s="92" t="str">
        <f>CONCATENATE( IF('اسفند 402'!AT22=1,"ص‌‌",""),IF('اسفند 402'!AU22=1,"ص‌'",""),IF('اسفند 402'!AT23=1,"ع‌",""),IF('اسفند 402'!AU23=1,"ع‌",""),IF('اسفند 402'!AT24=1,"ش‌",""),IF('اسفند 402'!AU24=1,"ش'‌",""), IF('اسفند 402'!AT22="*","",""), IF('اسفند 402'!AT22="@","*",""))</f>
        <v/>
      </c>
      <c r="AU18" s="92"/>
      <c r="AV18" s="93" t="str">
        <f>CONCATENATE( IF('اسفند 402'!AV22=1,"ص‌‌",""),IF('اسفند 402'!AW22=1,"ص‌'",""),IF('اسفند 402'!AV23=1,"ع‌",""),IF('اسفند 402'!AW23=1,"ع‌",""),IF('اسفند 402'!AV24=1,"ش‌",""),IF('اسفند 402'!AW24=1,"ش'‌",""), IF('اسفند 402'!AV22="*","",""), IF('اسفند 402'!AV22="@","*",""))</f>
        <v>ص‌‌</v>
      </c>
      <c r="AW18" s="93"/>
      <c r="AX18" s="93" t="str">
        <f>CONCATENATE( IF('اسفند 402'!AX22=1,"ص‌‌",""),IF('اسفند 402'!AY22=1,"ص‌'",""),IF('اسفند 402'!AX23=1,"ع‌",""),IF('اسفند 402'!AY23=1,"ع‌",""),IF('اسفند 402'!AX24=1,"ش‌",""),IF('اسفند 402'!AY24=1,"ش'‌",""), IF('اسفند 402'!AX22="*","",""), IF('اسفند 402'!AX22="@","*",""))</f>
        <v>ع‌ش‌</v>
      </c>
      <c r="AY18" s="93"/>
      <c r="AZ18" s="93" t="str">
        <f>CONCATENATE( IF('اسفند 402'!AZ22=1,"ص‌‌",""),IF('اسفند 402'!BA22=1,"ص‌'",""),IF('اسفند 402'!AZ23=1,"ع‌",""),IF('اسفند 402'!BA23=1,"ع‌",""),IF('اسفند 402'!AZ24=1,"ش‌",""),IF('اسفند 402'!BA24=1,"ش'‌",""), IF('اسفند 402'!AZ22="*","",""), IF('اسفند 402'!AZ22="@","*",""))</f>
        <v/>
      </c>
      <c r="BA18" s="93"/>
      <c r="BB18" s="92" t="str">
        <f>CONCATENATE( IF('اسفند 402'!BB22=1,"ص‌‌",""),IF('اسفند 402'!BC22=1,"ص‌'",""),IF('اسفند 402'!BB23=1,"ع‌",""),IF('اسفند 402'!BC23=1,"ع‌",""),IF('اسفند 402'!BB24=1,"ش‌",""),IF('اسفند 402'!BC24=1,"ش'‌",""), IF('اسفند 402'!BB22="*","",""), IF('اسفند 402'!BB22="@","*",""))</f>
        <v/>
      </c>
      <c r="BC18" s="92"/>
      <c r="BD18" s="92" t="str">
        <f>CONCATENATE( IF('اسفند 402'!BD22=1,"ص‌‌",""),IF('اسفند 402'!BE22=1,"ص‌'",""),IF('اسفند 402'!BD23=1,"ع‌",""),IF('اسفند 402'!BE23=1,"ع‌",""),IF('اسفند 402'!BD24=1,"ش‌",""),IF('اسفند 402'!BE24=1,"ش'‌",""), IF('اسفند 402'!BD22="*","",""), IF('اسفند 402'!BD22="@","*",""))</f>
        <v>ص‌‌</v>
      </c>
      <c r="BE18" s="92"/>
      <c r="BF18" s="92" t="str">
        <f>CONCATENATE( IF('اسفند 402'!BF22=1,"ص‌‌",""),IF('اسفند 402'!BG22=1,"ص‌'",""),IF('اسفند 402'!BF23=1,"ع‌",""),IF('اسفند 402'!BG23=1,"ع‌",""),IF('اسفند 402'!BF24=1,"ش‌",""),IF('اسفند 402'!BG24=1,"ش'‌",""), IF('اسفند 402'!BF22="*","",""), IF('اسفند 402'!BF22="@","*",""))</f>
        <v>ص‌‌</v>
      </c>
      <c r="BG18" s="92"/>
      <c r="BH18" s="92" t="str">
        <f>CONCATENATE( IF('اسفند 402'!BH22=1,"ص‌‌",""),IF('اسفند 402'!BI22=1,"ص‌'",""),IF('اسفند 402'!BH23=1,"ع‌",""),IF('اسفند 402'!BI23=1,"ع‌",""),IF('اسفند 402'!BH24=1,"ش‌",""),IF('اسفند 402'!BI24=1,"ش'‌",""), IF('اسفند 402'!BH22="*","",""), IF('اسفند 402'!BH22="@","*",""))</f>
        <v/>
      </c>
      <c r="BI18" s="92"/>
      <c r="BJ18" s="92" t="str">
        <f>CONCATENATE( IF('اسفند 402'!BJ22=1,"ص‌‌",""),IF('اسفند 402'!BK22=1,"ص‌'",""),IF('اسفند 402'!BJ23=1,"ع‌",""),IF('اسفند 402'!BK23=1,"ع‌",""),IF('اسفند 402'!BJ24=1,"ش‌",""),IF('اسفند 402'!BK24=1,"ش'‌",""), IF('اسفند 402'!BJ22="*","",""), IF('اسفند 402'!BJ22="@","*",""))</f>
        <v/>
      </c>
      <c r="BK18" s="92"/>
      <c r="BL18" s="92" t="str">
        <f>CONCATENATE( IF('اسفند 402'!BL22=1,"ص‌‌",""),IF('اسفند 402'!BM22=1,"ص‌'",""),IF('اسفند 402'!BL23=1,"ع‌",""),IF('اسفند 402'!BM23=1,"ع‌",""),IF('اسفند 402'!BL24=1,"ش‌",""),IF('اسفند 402'!BM24=1,"ش'‌",""), IF('اسفند 402'!BL22="*","",""), IF('اسفند 402'!BL22="@","*",""))</f>
        <v/>
      </c>
      <c r="BM18" s="92"/>
      <c r="BN18" s="93" t="str">
        <f>CONCATENATE( IF('اسفند 402'!BN22=1,"ص‌‌",""),IF('اسفند 402'!BO22=1,"ص‌'",""),IF('اسفند 402'!BN23=1,"ع‌",""),IF('اسفند 402'!BO23=1,"ع‌",""),IF('اسفند 402'!BN24=1,"ش‌",""),IF('اسفند 402'!BO24=1,"ش'‌",""), IF('اسفند 402'!BN22="*","",""), IF('اسفند 402'!BN22="@","*",""))</f>
        <v/>
      </c>
      <c r="BO18" s="93"/>
      <c r="BP18" s="83">
        <f>'اسفند 402'!C23</f>
        <v>20</v>
      </c>
    </row>
    <row r="19" spans="1:68" s="32" customFormat="1" ht="6" customHeight="1" x14ac:dyDescent="0.25">
      <c r="A19" s="88"/>
      <c r="B19" s="83"/>
      <c r="C19" s="83"/>
      <c r="D19" s="83"/>
      <c r="E19" s="83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3"/>
      <c r="AM19" s="93"/>
      <c r="AN19" s="92"/>
      <c r="AO19" s="92"/>
      <c r="AP19" s="92"/>
      <c r="AQ19" s="92"/>
      <c r="AR19" s="92"/>
      <c r="AS19" s="92"/>
      <c r="AT19" s="92"/>
      <c r="AU19" s="92"/>
      <c r="AV19" s="93"/>
      <c r="AW19" s="93"/>
      <c r="AX19" s="93"/>
      <c r="AY19" s="93"/>
      <c r="AZ19" s="93"/>
      <c r="BA19" s="93"/>
      <c r="BB19" s="92"/>
      <c r="BC19" s="92"/>
      <c r="BD19" s="92"/>
      <c r="BE19" s="92"/>
      <c r="BF19" s="92"/>
      <c r="BG19" s="92"/>
      <c r="BH19" s="92"/>
      <c r="BI19" s="92"/>
      <c r="BJ19" s="92"/>
      <c r="BK19" s="92"/>
      <c r="BL19" s="92"/>
      <c r="BM19" s="92"/>
      <c r="BN19" s="93"/>
      <c r="BO19" s="93"/>
      <c r="BP19" s="83"/>
    </row>
    <row r="20" spans="1:68" s="32" customFormat="1" ht="6" customHeight="1" x14ac:dyDescent="0.25">
      <c r="A20" s="88"/>
      <c r="B20" s="83"/>
      <c r="C20" s="83"/>
      <c r="D20" s="83"/>
      <c r="E20" s="83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3"/>
      <c r="AM20" s="93"/>
      <c r="AN20" s="92"/>
      <c r="AO20" s="92"/>
      <c r="AP20" s="92"/>
      <c r="AQ20" s="92"/>
      <c r="AR20" s="92"/>
      <c r="AS20" s="92"/>
      <c r="AT20" s="92"/>
      <c r="AU20" s="92"/>
      <c r="AV20" s="93"/>
      <c r="AW20" s="93"/>
      <c r="AX20" s="93"/>
      <c r="AY20" s="93"/>
      <c r="AZ20" s="93"/>
      <c r="BA20" s="93"/>
      <c r="BB20" s="92"/>
      <c r="BC20" s="92"/>
      <c r="BD20" s="92"/>
      <c r="BE20" s="92"/>
      <c r="BF20" s="92"/>
      <c r="BG20" s="92"/>
      <c r="BH20" s="92"/>
      <c r="BI20" s="92"/>
      <c r="BJ20" s="92"/>
      <c r="BK20" s="92"/>
      <c r="BL20" s="92"/>
      <c r="BM20" s="92"/>
      <c r="BN20" s="93"/>
      <c r="BO20" s="93"/>
      <c r="BP20" s="83"/>
    </row>
    <row r="21" spans="1:68" s="32" customFormat="1" ht="6" customHeight="1" x14ac:dyDescent="0.25">
      <c r="A21" s="88"/>
      <c r="B21" s="83">
        <v>7</v>
      </c>
      <c r="C21" s="83" t="str">
        <f>'اسفند 402'!B25</f>
        <v>x6</v>
      </c>
      <c r="D21" s="83" t="s">
        <v>29</v>
      </c>
      <c r="E21" s="83">
        <v>10.199999999999999</v>
      </c>
      <c r="F21" s="92" t="str">
        <f>CONCATENATE( IF('اسفند 402'!F25=1,"ص‌‌",""),IF('اسفند 402'!G25=1,"ص‌'",""),IF('اسفند 402'!F26=1,"ع‌",""),IF('اسفند 402'!G26=1,"ع‌",""),IF('اسفند 402'!F27=1,"ش‌",""),IF('اسفند 402'!G27=1,"ش'‌",""), IF('اسفند 402'!F25="*","",""), IF('اسفند 402'!F25="@","*",""))</f>
        <v/>
      </c>
      <c r="G21" s="92"/>
      <c r="H21" s="92" t="str">
        <f>CONCATENATE( IF('اسفند 402'!H25=1,"ص‌‌",""),IF('اسفند 402'!I25=1,"ص‌'",""),IF('اسفند 402'!H26=1,"ع‌",""),IF('اسفند 402'!I26=1,"ع‌",""),IF('اسفند 402'!H27=1,"ش‌",""),IF('اسفند 402'!I27=1,"ش'‌",""), IF('اسفند 402'!H25="*","",""), IF('اسفند 402'!H25="@","*",""))</f>
        <v/>
      </c>
      <c r="I21" s="92"/>
      <c r="J21" s="92" t="str">
        <f>CONCATENATE( IF('اسفند 402'!J25=1,"ص‌‌",""),IF('اسفند 402'!K25=1,"ص‌'",""),IF('اسفند 402'!J26=1,"ع‌",""),IF('اسفند 402'!K26=1,"ع‌",""),IF('اسفند 402'!J27=1,"ش‌",""),IF('اسفند 402'!K27=1,"ش'‌",""), IF('اسفند 402'!J25="*","",""), IF('اسفند 402'!J25="@","*",""))</f>
        <v/>
      </c>
      <c r="K21" s="92"/>
      <c r="L21" s="92" t="str">
        <f>CONCATENATE( IF('اسفند 402'!L25=1,"ص‌‌",""),IF('اسفند 402'!M25=1,"ص‌'",""),IF('اسفند 402'!L26=1,"ع‌",""),IF('اسفند 402'!M26=1,"ع‌",""),IF('اسفند 402'!L27=1,"ش‌",""),IF('اسفند 402'!M27=1,"ش'‌",""), IF('اسفند 402'!L25="*","",""), IF('اسفند 402'!L25="@","*",""))</f>
        <v/>
      </c>
      <c r="M21" s="92"/>
      <c r="N21" s="92" t="str">
        <f>CONCATENATE( IF('اسفند 402'!N25=1,"ص‌‌",""),IF('اسفند 402'!O25=1,"ص‌'",""),IF('اسفند 402'!N26=1,"ع‌",""),IF('اسفند 402'!O26=1,"ع‌",""),IF('اسفند 402'!N27=1,"ش‌",""),IF('اسفند 402'!O27=1,"ش'‌",""), IF('اسفند 402'!N25="*","",""), IF('اسفند 402'!N25="@","*",""))</f>
        <v/>
      </c>
      <c r="O21" s="92"/>
      <c r="P21" s="92" t="str">
        <f>CONCATENATE( IF('اسفند 402'!P25=1,"ص‌‌",""),IF('اسفند 402'!Q25=1,"ص‌'",""),IF('اسفند 402'!P26=1,"ع‌",""),IF('اسفند 402'!Q26=1,"ع‌",""),IF('اسفند 402'!P27=1,"ش‌",""),IF('اسفند 402'!Q27=1,"ش'‌",""), IF('اسفند 402'!P25="*","",""), IF('اسفند 402'!P25="@","*",""))</f>
        <v/>
      </c>
      <c r="Q21" s="92"/>
      <c r="R21" s="92" t="str">
        <f>CONCATENATE( IF('اسفند 402'!R25=1,"ص‌‌",""),IF('اسفند 402'!S25=1,"ص‌'",""),IF('اسفند 402'!R26=1,"ع‌",""),IF('اسفند 402'!S26=1,"ع‌",""),IF('اسفند 402'!R27=1,"ش‌",""),IF('اسفند 402'!S27=1,"ش'‌",""), IF('اسفند 402'!R25="*","",""), IF('اسفند 402'!R25="@","*",""))</f>
        <v>ص‌‌ش‌</v>
      </c>
      <c r="S21" s="92"/>
      <c r="T21" s="92" t="str">
        <f>CONCATENATE( IF('اسفند 402'!T25=1,"ص‌‌",""),IF('اسفند 402'!U25=1,"ص‌'",""),IF('اسفند 402'!T26=1,"ع‌",""),IF('اسفند 402'!U26=1,"ع‌",""),IF('اسفند 402'!T27=1,"ش‌",""),IF('اسفند 402'!U27=1,"ش'‌",""), IF('اسفند 402'!T25="*","",""), IF('اسفند 402'!T25="@","*",""))</f>
        <v/>
      </c>
      <c r="U21" s="92"/>
      <c r="V21" s="92" t="str">
        <f>CONCATENATE( IF('اسفند 402'!V25=1,"ص‌‌",""),IF('اسفند 402'!W25=1,"ص‌'",""),IF('اسفند 402'!V26=1,"ع‌",""),IF('اسفند 402'!W26=1,"ع‌",""),IF('اسفند 402'!V27=1,"ش‌",""),IF('اسفند 402'!W27=1,"ش'‌",""), IF('اسفند 402'!V25="*","",""), IF('اسفند 402'!V25="@","*",""))</f>
        <v>ع‌</v>
      </c>
      <c r="W21" s="92"/>
      <c r="X21" s="92" t="str">
        <f>CONCATENATE( IF('اسفند 402'!X25=1,"ص‌‌",""),IF('اسفند 402'!Y25=1,"ص‌'",""),IF('اسفند 402'!X26=1,"ع‌",""),IF('اسفند 402'!Y26=1,"ع‌",""),IF('اسفند 402'!X27=1,"ش‌",""),IF('اسفند 402'!Y27=1,"ش'‌",""), IF('اسفند 402'!X25="*","",""), IF('اسفند 402'!X25="@","*",""))</f>
        <v>ش‌</v>
      </c>
      <c r="Y21" s="92"/>
      <c r="Z21" s="92" t="str">
        <f>CONCATENATE( IF('اسفند 402'!Z25=1,"ص‌‌",""),IF('اسفند 402'!AA25=1,"ص‌'",""),IF('اسفند 402'!Z26=1,"ع‌",""),IF('اسفند 402'!AA26=1,"ع‌",""),IF('اسفند 402'!Z27=1,"ش‌",""),IF('اسفند 402'!AA27=1,"ش'‌",""), IF('اسفند 402'!Z25="*","",""), IF('اسفند 402'!Z25="@","*",""))</f>
        <v/>
      </c>
      <c r="AA21" s="92"/>
      <c r="AB21" s="92" t="str">
        <f>CONCATENATE( IF('اسفند 402'!AB25=1,"ص‌‌",""),IF('اسفند 402'!AC25=1,"ص‌'",""),IF('اسفند 402'!AB26=1,"ع‌",""),IF('اسفند 402'!AC26=1,"ع‌",""),IF('اسفند 402'!AB27=1,"ش‌",""),IF('اسفند 402'!AC27=1,"ش'‌",""), IF('اسفند 402'!AB25="*","",""), IF('اسفند 402'!AB25="@","*",""))</f>
        <v>ص‌‌ش‌</v>
      </c>
      <c r="AC21" s="92"/>
      <c r="AD21" s="92" t="str">
        <f>CONCATENATE( IF('اسفند 402'!AD25=1,"ص‌‌",""),IF('اسفند 402'!AE25=1,"ص‌'",""),IF('اسفند 402'!AD26=1,"ع‌",""),IF('اسفند 402'!AE26=1,"ع‌",""),IF('اسفند 402'!AD27=1,"ش‌",""),IF('اسفند 402'!AE27=1,"ش'‌",""), IF('اسفند 402'!AD25="*","",""), IF('اسفند 402'!AD25="@","*",""))</f>
        <v/>
      </c>
      <c r="AE21" s="92"/>
      <c r="AF21" s="92" t="str">
        <f>CONCATENATE( IF('اسفند 402'!AF25=1,"ص‌‌",""),IF('اسفند 402'!AG25=1,"ص‌'",""),IF('اسفند 402'!AF26=1,"ع‌",""),IF('اسفند 402'!AG26=1,"ع‌",""),IF('اسفند 402'!AF27=1,"ش‌",""),IF('اسفند 402'!AG27=1,"ش'‌",""), IF('اسفند 402'!AF25="*","",""), IF('اسفند 402'!AF25="@","*",""))</f>
        <v>*</v>
      </c>
      <c r="AG21" s="92"/>
      <c r="AH21" s="92" t="str">
        <f>CONCATENATE( IF('اسفند 402'!AH25=1,"ص‌‌",""),IF('اسفند 402'!AI25=1,"ص‌'",""),IF('اسفند 402'!AH26=1,"ع‌",""),IF('اسفند 402'!AI26=1,"ع‌",""),IF('اسفند 402'!AH27=1,"ش‌",""),IF('اسفند 402'!AI27=1,"ش'‌",""), IF('اسفند 402'!AH25="*","",""), IF('اسفند 402'!AH25="@","*",""))</f>
        <v/>
      </c>
      <c r="AI21" s="92"/>
      <c r="AJ21" s="92" t="str">
        <f>CONCATENATE( IF('اسفند 402'!AJ25=1,"ص‌‌",""),IF('اسفند 402'!AK25=1,"ص‌'",""),IF('اسفند 402'!AJ26=1,"ع‌",""),IF('اسفند 402'!AK26=1,"ع‌",""),IF('اسفند 402'!AJ27=1,"ش‌",""),IF('اسفند 402'!AK27=1,"ش'‌",""), IF('اسفند 402'!AJ25="*","",""), IF('اسفند 402'!AJ25="@","*",""))</f>
        <v>ش‌</v>
      </c>
      <c r="AK21" s="92"/>
      <c r="AL21" s="93" t="str">
        <f>CONCATENATE( IF('اسفند 402'!AL25=1,"ص‌‌",""),IF('اسفند 402'!AM25=1,"ص‌'",""),IF('اسفند 402'!AL26=1,"ع‌",""),IF('اسفند 402'!AM26=1,"ع‌",""),IF('اسفند 402'!AL27=1,"ش‌",""),IF('اسفند 402'!AM27=1,"ش'‌",""), IF('اسفند 402'!AL25="*","",""), IF('اسفند 402'!AL25="@","*",""))</f>
        <v/>
      </c>
      <c r="AM21" s="93"/>
      <c r="AN21" s="92" t="str">
        <f>CONCATENATE( IF('اسفند 402'!AN25=1,"ص‌‌",""),IF('اسفند 402'!AO25=1,"ص‌'",""),IF('اسفند 402'!AN26=1,"ع‌",""),IF('اسفند 402'!AO26=1,"ع‌",""),IF('اسفند 402'!AN27=1,"ش‌",""),IF('اسفند 402'!AO27=1,"ش'‌",""), IF('اسفند 402'!AN25="*","",""), IF('اسفند 402'!AN25="@","*",""))</f>
        <v/>
      </c>
      <c r="AO21" s="92"/>
      <c r="AP21" s="92" t="str">
        <f>CONCATENATE( IF('اسفند 402'!AP25=1,"ص‌‌",""),IF('اسفند 402'!AQ25=1,"ص‌'",""),IF('اسفند 402'!AP26=1,"ع‌",""),IF('اسفند 402'!AQ26=1,"ع‌",""),IF('اسفند 402'!AP27=1,"ش‌",""),IF('اسفند 402'!AQ27=1,"ش'‌",""), IF('اسفند 402'!AP25="*","",""), IF('اسفند 402'!AP25="@","*",""))</f>
        <v>ص‌‌ش‌</v>
      </c>
      <c r="AQ21" s="92"/>
      <c r="AR21" s="92" t="str">
        <f>CONCATENATE( IF('اسفند 402'!AR25=1,"ص‌‌",""),IF('اسفند 402'!AS25=1,"ص‌'",""),IF('اسفند 402'!AR26=1,"ع‌",""),IF('اسفند 402'!AS26=1,"ع‌",""),IF('اسفند 402'!AR27=1,"ش‌",""),IF('اسفند 402'!AS27=1,"ش'‌",""), IF('اسفند 402'!AR25="*","",""), IF('اسفند 402'!AR25="@","*",""))</f>
        <v/>
      </c>
      <c r="AS21" s="92"/>
      <c r="AT21" s="92" t="str">
        <f>CONCATENATE( IF('اسفند 402'!AT25=1,"ص‌‌",""),IF('اسفند 402'!AU25=1,"ص‌'",""),IF('اسفند 402'!AT26=1,"ع‌",""),IF('اسفند 402'!AU26=1,"ع‌",""),IF('اسفند 402'!AT27=1,"ش‌",""),IF('اسفند 402'!AU27=1,"ش'‌",""), IF('اسفند 402'!AT25="*","",""), IF('اسفند 402'!AT25="@","*",""))</f>
        <v>ص‌‌</v>
      </c>
      <c r="AU21" s="92"/>
      <c r="AV21" s="93" t="str">
        <f>CONCATENATE( IF('اسفند 402'!AV25=1,"ص‌‌",""),IF('اسفند 402'!AW25=1,"ص‌'",""),IF('اسفند 402'!AV26=1,"ع‌",""),IF('اسفند 402'!AW26=1,"ع‌",""),IF('اسفند 402'!AV27=1,"ش‌",""),IF('اسفند 402'!AW27=1,"ش'‌",""), IF('اسفند 402'!AV25="*","",""), IF('اسفند 402'!AV25="@","*",""))</f>
        <v/>
      </c>
      <c r="AW21" s="93"/>
      <c r="AX21" s="93" t="str">
        <f>CONCATENATE( IF('اسفند 402'!AX25=1,"ص‌‌",""),IF('اسفند 402'!AY25=1,"ص‌'",""),IF('اسفند 402'!AX26=1,"ع‌",""),IF('اسفند 402'!AY26=1,"ع‌",""),IF('اسفند 402'!AX27=1,"ش‌",""),IF('اسفند 402'!AY27=1,"ش'‌",""), IF('اسفند 402'!AX25="*","",""), IF('اسفند 402'!AX25="@","*",""))</f>
        <v/>
      </c>
      <c r="AY21" s="93"/>
      <c r="AZ21" s="93" t="str">
        <f>CONCATENATE( IF('اسفند 402'!AZ25=1,"ص‌‌",""),IF('اسفند 402'!BA25=1,"ص‌'",""),IF('اسفند 402'!AZ26=1,"ع‌",""),IF('اسفند 402'!BA26=1,"ع‌",""),IF('اسفند 402'!AZ27=1,"ش‌",""),IF('اسفند 402'!BA27=1,"ش'‌",""), IF('اسفند 402'!AZ25="*","",""), IF('اسفند 402'!AZ25="@","*",""))</f>
        <v/>
      </c>
      <c r="BA21" s="93"/>
      <c r="BB21" s="92" t="str">
        <f>CONCATENATE( IF('اسفند 402'!BB25=1,"ص‌‌",""),IF('اسفند 402'!BC25=1,"ص‌'",""),IF('اسفند 402'!BB26=1,"ع‌",""),IF('اسفند 402'!BC26=1,"ع‌",""),IF('اسفند 402'!BB27=1,"ش‌",""),IF('اسفند 402'!BC27=1,"ش'‌",""), IF('اسفند 402'!BB25="*","",""), IF('اسفند 402'!BB25="@","*",""))</f>
        <v/>
      </c>
      <c r="BC21" s="92"/>
      <c r="BD21" s="92" t="str">
        <f>CONCATENATE( IF('اسفند 402'!BD25=1,"ص‌‌",""),IF('اسفند 402'!BE25=1,"ص‌'",""),IF('اسفند 402'!BD26=1,"ع‌",""),IF('اسفند 402'!BE26=1,"ع‌",""),IF('اسفند 402'!BD27=1,"ش‌",""),IF('اسفند 402'!BE27=1,"ش'‌",""), IF('اسفند 402'!BD25="*","",""), IF('اسفند 402'!BD25="@","*",""))</f>
        <v>ص‌‌ش‌</v>
      </c>
      <c r="BE21" s="92"/>
      <c r="BF21" s="92" t="str">
        <f>CONCATENATE( IF('اسفند 402'!BF25=1,"ص‌‌",""),IF('اسفند 402'!BG25=1,"ص‌'",""),IF('اسفند 402'!BF26=1,"ع‌",""),IF('اسفند 402'!BG26=1,"ع‌",""),IF('اسفند 402'!BF27=1,"ش‌",""),IF('اسفند 402'!BG27=1,"ش'‌",""), IF('اسفند 402'!BF25="*","",""), IF('اسفند 402'!BF25="@","*",""))</f>
        <v/>
      </c>
      <c r="BG21" s="92"/>
      <c r="BH21" s="92" t="str">
        <f>CONCATENATE( IF('اسفند 402'!BH25=1,"ص‌‌",""),IF('اسفند 402'!BI25=1,"ص‌'",""),IF('اسفند 402'!BH26=1,"ع‌",""),IF('اسفند 402'!BI26=1,"ع‌",""),IF('اسفند 402'!BH27=1,"ش‌",""),IF('اسفند 402'!BI27=1,"ش'‌",""), IF('اسفند 402'!BH25="*","",""), IF('اسفند 402'!BH25="@","*",""))</f>
        <v>ص‌‌</v>
      </c>
      <c r="BI21" s="92"/>
      <c r="BJ21" s="92" t="str">
        <f>CONCATENATE( IF('اسفند 402'!BJ25=1,"ص‌‌",""),IF('اسفند 402'!BK25=1,"ص‌'",""),IF('اسفند 402'!BJ26=1,"ع‌",""),IF('اسفند 402'!BK26=1,"ع‌",""),IF('اسفند 402'!BJ27=1,"ش‌",""),IF('اسفند 402'!BK27=1,"ش'‌",""), IF('اسفند 402'!BJ25="*","",""), IF('اسفند 402'!BJ25="@","*",""))</f>
        <v>ص‌‌</v>
      </c>
      <c r="BK21" s="92"/>
      <c r="BL21" s="92" t="str">
        <f>CONCATENATE( IF('اسفند 402'!BL25=1,"ص‌‌",""),IF('اسفند 402'!BM25=1,"ص‌'",""),IF('اسفند 402'!BL26=1,"ع‌",""),IF('اسفند 402'!BM26=1,"ع‌",""),IF('اسفند 402'!BL27=1,"ش‌",""),IF('اسفند 402'!BM27=1,"ش'‌",""), IF('اسفند 402'!BL25="*","",""), IF('اسفند 402'!BL25="@","*",""))</f>
        <v/>
      </c>
      <c r="BM21" s="92"/>
      <c r="BN21" s="93" t="str">
        <f>CONCATENATE( IF('اسفند 402'!BN25=1,"ص‌‌",""),IF('اسفند 402'!BO25=1,"ص‌'",""),IF('اسفند 402'!BN26=1,"ع‌",""),IF('اسفند 402'!BO26=1,"ع‌",""),IF('اسفند 402'!BN27=1,"ش‌",""),IF('اسفند 402'!BO27=1,"ش'‌",""), IF('اسفند 402'!BN25="*","",""), IF('اسفند 402'!BN25="@","*",""))</f>
        <v/>
      </c>
      <c r="BO21" s="93"/>
      <c r="BP21" s="83">
        <f>'اسفند 402'!C26</f>
        <v>20</v>
      </c>
    </row>
    <row r="22" spans="1:68" s="32" customFormat="1" ht="6" customHeight="1" x14ac:dyDescent="0.25">
      <c r="A22" s="88"/>
      <c r="B22" s="83"/>
      <c r="C22" s="83"/>
      <c r="D22" s="83"/>
      <c r="E22" s="83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3"/>
      <c r="AM22" s="93"/>
      <c r="AN22" s="92"/>
      <c r="AO22" s="92"/>
      <c r="AP22" s="92"/>
      <c r="AQ22" s="92"/>
      <c r="AR22" s="92"/>
      <c r="AS22" s="92"/>
      <c r="AT22" s="92"/>
      <c r="AU22" s="92"/>
      <c r="AV22" s="93"/>
      <c r="AW22" s="93"/>
      <c r="AX22" s="93"/>
      <c r="AY22" s="93"/>
      <c r="AZ22" s="93"/>
      <c r="BA22" s="93"/>
      <c r="BB22" s="92"/>
      <c r="BC22" s="92"/>
      <c r="BD22" s="92"/>
      <c r="BE22" s="92"/>
      <c r="BF22" s="92"/>
      <c r="BG22" s="92"/>
      <c r="BH22" s="92"/>
      <c r="BI22" s="92"/>
      <c r="BJ22" s="92"/>
      <c r="BK22" s="92"/>
      <c r="BL22" s="92"/>
      <c r="BM22" s="92"/>
      <c r="BN22" s="93"/>
      <c r="BO22" s="93"/>
      <c r="BP22" s="83"/>
    </row>
    <row r="23" spans="1:68" s="32" customFormat="1" ht="6" customHeight="1" x14ac:dyDescent="0.25">
      <c r="A23" s="88"/>
      <c r="B23" s="83"/>
      <c r="C23" s="83"/>
      <c r="D23" s="83"/>
      <c r="E23" s="83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3"/>
      <c r="AM23" s="93"/>
      <c r="AN23" s="92"/>
      <c r="AO23" s="92"/>
      <c r="AP23" s="92"/>
      <c r="AQ23" s="92"/>
      <c r="AR23" s="92"/>
      <c r="AS23" s="92"/>
      <c r="AT23" s="92"/>
      <c r="AU23" s="92"/>
      <c r="AV23" s="93"/>
      <c r="AW23" s="93"/>
      <c r="AX23" s="93"/>
      <c r="AY23" s="93"/>
      <c r="AZ23" s="93"/>
      <c r="BA23" s="93"/>
      <c r="BB23" s="92"/>
      <c r="BC23" s="92"/>
      <c r="BD23" s="92"/>
      <c r="BE23" s="92"/>
      <c r="BF23" s="92"/>
      <c r="BG23" s="92"/>
      <c r="BH23" s="92"/>
      <c r="BI23" s="92"/>
      <c r="BJ23" s="92"/>
      <c r="BK23" s="92"/>
      <c r="BL23" s="92"/>
      <c r="BM23" s="92"/>
      <c r="BN23" s="93"/>
      <c r="BO23" s="93"/>
      <c r="BP23" s="83"/>
    </row>
    <row r="24" spans="1:68" s="33" customFormat="1" ht="6" customHeight="1" x14ac:dyDescent="0.25">
      <c r="A24" s="88"/>
      <c r="B24" s="83">
        <v>8</v>
      </c>
      <c r="C24" s="83" t="str">
        <f>'اسفند 402'!B28</f>
        <v>x7</v>
      </c>
      <c r="D24" s="112" t="s">
        <v>29</v>
      </c>
      <c r="E24" s="83">
        <v>7.3</v>
      </c>
      <c r="F24" s="92" t="str">
        <f>CONCATENATE( IF('اسفند 402'!F28=1,"ص‌‌",""),IF('اسفند 402'!G28=1,"ص‌'",""),IF('اسفند 402'!F29=1,"ع‌",""),IF('اسفند 402'!G29=1,"ع‌",""),IF('اسفند 402'!F30=1,"ش‌",""),IF('اسفند 402'!G30=1,"ش'‌",""), IF('اسفند 402'!F28="*","",""), IF('اسفند 402'!F28="@","*",""))</f>
        <v>ع‌ش‌</v>
      </c>
      <c r="G24" s="92"/>
      <c r="H24" s="92" t="str">
        <f>CONCATENATE( IF('اسفند 402'!H28=1,"ص‌‌",""),IF('اسفند 402'!I28=1,"ص‌'",""),IF('اسفند 402'!H29=1,"ع‌",""),IF('اسفند 402'!I29=1,"ع‌",""),IF('اسفند 402'!H30=1,"ش‌",""),IF('اسفند 402'!I30=1,"ش'‌",""), IF('اسفند 402'!H28="*","",""), IF('اسفند 402'!H28="@","*",""))</f>
        <v/>
      </c>
      <c r="I24" s="92"/>
      <c r="J24" s="92" t="str">
        <f>CONCATENATE( IF('اسفند 402'!J28=1,"ص‌‌",""),IF('اسفند 402'!K28=1,"ص‌'",""),IF('اسفند 402'!J29=1,"ع‌",""),IF('اسفند 402'!K29=1,"ع‌",""),IF('اسفند 402'!J30=1,"ش‌",""),IF('اسفند 402'!K30=1,"ش'‌",""), IF('اسفند 402'!J28="*","",""), IF('اسفند 402'!J28="@","*",""))</f>
        <v>ص‌‌ع‌</v>
      </c>
      <c r="K24" s="92"/>
      <c r="L24" s="92" t="str">
        <f>CONCATENATE( IF('اسفند 402'!L28=1,"ص‌‌",""),IF('اسفند 402'!M28=1,"ص‌'",""),IF('اسفند 402'!L29=1,"ع‌",""),IF('اسفند 402'!M29=1,"ع‌",""),IF('اسفند 402'!L30=1,"ش‌",""),IF('اسفند 402'!M30=1,"ش'‌",""), IF('اسفند 402'!L28="*","",""), IF('اسفند 402'!L28="@","*",""))</f>
        <v>ع‌ش‌</v>
      </c>
      <c r="M24" s="92"/>
      <c r="N24" s="92" t="str">
        <f>CONCATENATE( IF('اسفند 402'!N28=1,"ص‌‌",""),IF('اسفند 402'!O28=1,"ص‌'",""),IF('اسفند 402'!N29=1,"ع‌",""),IF('اسفند 402'!O29=1,"ع‌",""),IF('اسفند 402'!N30=1,"ش‌",""),IF('اسفند 402'!O30=1,"ش'‌",""), IF('اسفند 402'!N28="*","",""), IF('اسفند 402'!N28="@","*",""))</f>
        <v/>
      </c>
      <c r="O24" s="92"/>
      <c r="P24" s="92" t="str">
        <f>CONCATENATE( IF('اسفند 402'!P28=1,"ص‌‌",""),IF('اسفند 402'!Q28=1,"ص‌'",""),IF('اسفند 402'!P29=1,"ع‌",""),IF('اسفند 402'!Q29=1,"ع‌",""),IF('اسفند 402'!P30=1,"ش‌",""),IF('اسفند 402'!Q30=1,"ش'‌",""), IF('اسفند 402'!P28="*","",""), IF('اسفند 402'!P28="@","*",""))</f>
        <v>ع‌</v>
      </c>
      <c r="Q24" s="92"/>
      <c r="R24" s="92" t="str">
        <f>CONCATENATE( IF('اسفند 402'!R28=1,"ص‌‌",""),IF('اسفند 402'!S28=1,"ص‌'",""),IF('اسفند 402'!R29=1,"ع‌",""),IF('اسفند 402'!S29=1,"ع‌",""),IF('اسفند 402'!R30=1,"ش‌",""),IF('اسفند 402'!S30=1,"ش'‌",""), IF('اسفند 402'!R28="*","",""), IF('اسفند 402'!R28="@","*",""))</f>
        <v/>
      </c>
      <c r="S24" s="92"/>
      <c r="T24" s="92" t="str">
        <f>CONCATENATE( IF('اسفند 402'!T28=1,"ص‌‌",""),IF('اسفند 402'!U28=1,"ص‌'",""),IF('اسفند 402'!T29=1,"ع‌",""),IF('اسفند 402'!U29=1,"ع‌",""),IF('اسفند 402'!T30=1,"ش‌",""),IF('اسفند 402'!U30=1,"ش'‌",""), IF('اسفند 402'!T28="*","",""), IF('اسفند 402'!T28="@","*",""))</f>
        <v/>
      </c>
      <c r="U24" s="92"/>
      <c r="V24" s="92" t="str">
        <f>CONCATENATE( IF('اسفند 402'!V28=1,"ص‌‌",""),IF('اسفند 402'!W28=1,"ص‌'",""),IF('اسفند 402'!V29=1,"ع‌",""),IF('اسفند 402'!W29=1,"ع‌",""),IF('اسفند 402'!V30=1,"ش‌",""),IF('اسفند 402'!W30=1,"ش'‌",""), IF('اسفند 402'!V28="*","",""), IF('اسفند 402'!V28="@","*",""))</f>
        <v/>
      </c>
      <c r="W24" s="92"/>
      <c r="X24" s="92" t="str">
        <f>CONCATENATE( IF('اسفند 402'!X28=1,"ص‌‌",""),IF('اسفند 402'!Y28=1,"ص‌'",""),IF('اسفند 402'!X29=1,"ع‌",""),IF('اسفند 402'!Y29=1,"ع‌",""),IF('اسفند 402'!X30=1,"ش‌",""),IF('اسفند 402'!Y30=1,"ش'‌",""), IF('اسفند 402'!X28="*","",""), IF('اسفند 402'!X28="@","*",""))</f>
        <v/>
      </c>
      <c r="Y24" s="92"/>
      <c r="Z24" s="92" t="str">
        <f>CONCATENATE( IF('اسفند 402'!Z28=1,"ص‌‌",""),IF('اسفند 402'!AA28=1,"ص‌'",""),IF('اسفند 402'!Z29=1,"ع‌",""),IF('اسفند 402'!AA29=1,"ع‌",""),IF('اسفند 402'!Z30=1,"ش‌",""),IF('اسفند 402'!AA30=1,"ش'‌",""), IF('اسفند 402'!Z28="*","",""), IF('اسفند 402'!Z28="@","*",""))</f>
        <v/>
      </c>
      <c r="AA24" s="92"/>
      <c r="AB24" s="92" t="str">
        <f>CONCATENATE( IF('اسفند 402'!AB28=1,"ص‌‌",""),IF('اسفند 402'!AC28=1,"ص‌'",""),IF('اسفند 402'!AB29=1,"ع‌",""),IF('اسفند 402'!AC29=1,"ع‌",""),IF('اسفند 402'!AB30=1,"ش‌",""),IF('اسفند 402'!AC30=1,"ش'‌",""), IF('اسفند 402'!AB28="*","",""), IF('اسفند 402'!AB28="@","*",""))</f>
        <v/>
      </c>
      <c r="AC24" s="92"/>
      <c r="AD24" s="92" t="str">
        <f>CONCATENATE( IF('اسفند 402'!AD28=1,"ص‌‌",""),IF('اسفند 402'!AE28=1,"ص‌'",""),IF('اسفند 402'!AD29=1,"ع‌",""),IF('اسفند 402'!AE29=1,"ع‌",""),IF('اسفند 402'!AD30=1,"ش‌",""),IF('اسفند 402'!AE30=1,"ش'‌",""), IF('اسفند 402'!AD28="*","",""), IF('اسفند 402'!AD28="@","*",""))</f>
        <v/>
      </c>
      <c r="AE24" s="92"/>
      <c r="AF24" s="92" t="str">
        <f>CONCATENATE( IF('اسفند 402'!AF28=1,"ص‌‌",""),IF('اسفند 402'!AG28=1,"ص‌'",""),IF('اسفند 402'!AF29=1,"ع‌",""),IF('اسفند 402'!AG29=1,"ع‌",""),IF('اسفند 402'!AF30=1,"ش‌",""),IF('اسفند 402'!AG30=1,"ش'‌",""), IF('اسفند 402'!AF28="*","",""), IF('اسفند 402'!AF28="@","*",""))</f>
        <v/>
      </c>
      <c r="AG24" s="92"/>
      <c r="AH24" s="92" t="str">
        <f>CONCATENATE( IF('اسفند 402'!AH28=1,"ص‌‌",""),IF('اسفند 402'!AI28=1,"ص‌'",""),IF('اسفند 402'!AH29=1,"ع‌",""),IF('اسفند 402'!AI29=1,"ع‌",""),IF('اسفند 402'!AH30=1,"ش‌",""),IF('اسفند 402'!AI30=1,"ش'‌",""), IF('اسفند 402'!AH28="*","",""), IF('اسفند 402'!AH28="@","*",""))</f>
        <v>ع‌ش‌</v>
      </c>
      <c r="AI24" s="92"/>
      <c r="AJ24" s="92" t="str">
        <f>CONCATENATE( IF('اسفند 402'!AJ28=1,"ص‌‌",""),IF('اسفند 402'!AK28=1,"ص‌'",""),IF('اسفند 402'!AJ29=1,"ع‌",""),IF('اسفند 402'!AK29=1,"ع‌",""),IF('اسفند 402'!AJ30=1,"ش‌",""),IF('اسفند 402'!AK30=1,"ش'‌",""), IF('اسفند 402'!AJ28="*","",""), IF('اسفند 402'!AJ28="@","*",""))</f>
        <v/>
      </c>
      <c r="AK24" s="92"/>
      <c r="AL24" s="93" t="str">
        <f>CONCATENATE( IF('اسفند 402'!AL28=1,"ص‌‌",""),IF('اسفند 402'!AM28=1,"ص‌'",""),IF('اسفند 402'!AL29=1,"ع‌",""),IF('اسفند 402'!AM29=1,"ع‌",""),IF('اسفند 402'!AL30=1,"ش‌",""),IF('اسفند 402'!AM30=1,"ش'‌",""), IF('اسفند 402'!AL28="*","",""), IF('اسفند 402'!AL28="@","*",""))</f>
        <v/>
      </c>
      <c r="AM24" s="93"/>
      <c r="AN24" s="92" t="str">
        <f>CONCATENATE( IF('اسفند 402'!AN28=1,"ص‌‌",""),IF('اسفند 402'!AO28=1,"ص‌'",""),IF('اسفند 402'!AN29=1,"ع‌",""),IF('اسفند 402'!AO29=1,"ع‌",""),IF('اسفند 402'!AN30=1,"ش‌",""),IF('اسفند 402'!AO30=1,"ش'‌",""), IF('اسفند 402'!AN28="*","",""), IF('اسفند 402'!AN28="@","*",""))</f>
        <v/>
      </c>
      <c r="AO24" s="92"/>
      <c r="AP24" s="92" t="str">
        <f>CONCATENATE( IF('اسفند 402'!AP28=1,"ص‌‌",""),IF('اسفند 402'!AQ28=1,"ص‌'",""),IF('اسفند 402'!AP29=1,"ع‌",""),IF('اسفند 402'!AQ29=1,"ع‌",""),IF('اسفند 402'!AP30=1,"ش‌",""),IF('اسفند 402'!AQ30=1,"ش'‌",""), IF('اسفند 402'!AP28="*","",""), IF('اسفند 402'!AP28="@","*",""))</f>
        <v>ع‌ش‌</v>
      </c>
      <c r="AQ24" s="92"/>
      <c r="AR24" s="92" t="str">
        <f>CONCATENATE( IF('اسفند 402'!AR28=1,"ص‌‌",""),IF('اسفند 402'!AS28=1,"ص‌'",""),IF('اسفند 402'!AR29=1,"ع‌",""),IF('اسفند 402'!AS29=1,"ع‌",""),IF('اسفند 402'!AR30=1,"ش‌",""),IF('اسفند 402'!AS30=1,"ش'‌",""), IF('اسفند 402'!AR28="*","",""), IF('اسفند 402'!AR28="@","*",""))</f>
        <v/>
      </c>
      <c r="AS24" s="92"/>
      <c r="AT24" s="92" t="str">
        <f>CONCATENATE( IF('اسفند 402'!AT28=1,"ص‌‌",""),IF('اسفند 402'!AU28=1,"ص‌'",""),IF('اسفند 402'!AT29=1,"ع‌",""),IF('اسفند 402'!AU29=1,"ع‌",""),IF('اسفند 402'!AT30=1,"ش‌",""),IF('اسفند 402'!AU30=1,"ش'‌",""), IF('اسفند 402'!AT28="*","",""), IF('اسفند 402'!AT28="@","*",""))</f>
        <v/>
      </c>
      <c r="AU24" s="92"/>
      <c r="AV24" s="93" t="str">
        <f>CONCATENATE( IF('اسفند 402'!AV28=1,"ص‌‌",""),IF('اسفند 402'!AW28=1,"ص‌'",""),IF('اسفند 402'!AV29=1,"ع‌",""),IF('اسفند 402'!AW29=1,"ع‌",""),IF('اسفند 402'!AV30=1,"ش‌",""),IF('اسفند 402'!AW30=1,"ش'‌",""), IF('اسفند 402'!AV28="*","",""), IF('اسفند 402'!AV28="@","*",""))</f>
        <v>ع‌</v>
      </c>
      <c r="AW24" s="93"/>
      <c r="AX24" s="93" t="str">
        <f>CONCATENATE( IF('اسفند 402'!AX28=1,"ص‌‌",""),IF('اسفند 402'!AY28=1,"ص‌'",""),IF('اسفند 402'!AX29=1,"ع‌",""),IF('اسفند 402'!AY29=1,"ع‌",""),IF('اسفند 402'!AX30=1,"ش‌",""),IF('اسفند 402'!AY30=1,"ش'‌",""), IF('اسفند 402'!AX28="*","",""), IF('اسفند 402'!AX28="@","*",""))</f>
        <v>ص‌‌</v>
      </c>
      <c r="AY24" s="93"/>
      <c r="AZ24" s="93" t="str">
        <f>CONCATENATE( IF('اسفند 402'!AZ28=1,"ص‌‌",""),IF('اسفند 402'!BA28=1,"ص‌'",""),IF('اسفند 402'!AZ29=1,"ع‌",""),IF('اسفند 402'!BA29=1,"ع‌",""),IF('اسفند 402'!AZ30=1,"ش‌",""),IF('اسفند 402'!BA30=1,"ش'‌",""), IF('اسفند 402'!AZ28="*","",""), IF('اسفند 402'!AZ28="@","*",""))</f>
        <v/>
      </c>
      <c r="BA24" s="93"/>
      <c r="BB24" s="92" t="str">
        <f>CONCATENATE( IF('اسفند 402'!BB28=1,"ص‌‌",""),IF('اسفند 402'!BC28=1,"ص‌'",""),IF('اسفند 402'!BB29=1,"ع‌",""),IF('اسفند 402'!BC29=1,"ع‌",""),IF('اسفند 402'!BB30=1,"ش‌",""),IF('اسفند 402'!BC30=1,"ش'‌",""), IF('اسفند 402'!BB28="*","",""), IF('اسفند 402'!BB28="@","*",""))</f>
        <v/>
      </c>
      <c r="BC24" s="92"/>
      <c r="BD24" s="92" t="str">
        <f>CONCATENATE( IF('اسفند 402'!BD28=1,"ص‌‌",""),IF('اسفند 402'!BE28=1,"ص‌'",""),IF('اسفند 402'!BD29=1,"ع‌",""),IF('اسفند 402'!BE29=1,"ع‌",""),IF('اسفند 402'!BD30=1,"ش‌",""),IF('اسفند 402'!BE30=1,"ش'‌",""), IF('اسفند 402'!BD28="*","",""), IF('اسفند 402'!BD28="@","*",""))</f>
        <v>ش‌</v>
      </c>
      <c r="BE24" s="92"/>
      <c r="BF24" s="92" t="str">
        <f>CONCATENATE( IF('اسفند 402'!BF28=1,"ص‌‌",""),IF('اسفند 402'!BG28=1,"ص‌'",""),IF('اسفند 402'!BF29=1,"ع‌",""),IF('اسفند 402'!BG29=1,"ع‌",""),IF('اسفند 402'!BF30=1,"ش‌",""),IF('اسفند 402'!BG30=1,"ش'‌",""), IF('اسفند 402'!BF28="*","",""), IF('اسفند 402'!BF28="@","*",""))</f>
        <v/>
      </c>
      <c r="BG24" s="92"/>
      <c r="BH24" s="92" t="str">
        <f>CONCATENATE( IF('اسفند 402'!BH28=1,"ص‌‌",""),IF('اسفند 402'!BI28=1,"ص‌'",""),IF('اسفند 402'!BH29=1,"ع‌",""),IF('اسفند 402'!BI29=1,"ع‌",""),IF('اسفند 402'!BH30=1,"ش‌",""),IF('اسفند 402'!BI30=1,"ش'‌",""), IF('اسفند 402'!BH28="*","",""), IF('اسفند 402'!BH28="@","*",""))</f>
        <v>ص‌‌ع‌</v>
      </c>
      <c r="BI24" s="92"/>
      <c r="BJ24" s="92" t="str">
        <f>CONCATENATE( IF('اسفند 402'!BJ28=1,"ص‌‌",""),IF('اسفند 402'!BK28=1,"ص‌'",""),IF('اسفند 402'!BJ29=1,"ع‌",""),IF('اسفند 402'!BK29=1,"ع‌",""),IF('اسفند 402'!BJ30=1,"ش‌",""),IF('اسفند 402'!BK30=1,"ش'‌",""), IF('اسفند 402'!BJ28="*","",""), IF('اسفند 402'!BJ28="@","*",""))</f>
        <v>ع‌ش‌</v>
      </c>
      <c r="BK24" s="92"/>
      <c r="BL24" s="92" t="str">
        <f>CONCATENATE( IF('اسفند 402'!BL28=1,"ص‌‌",""),IF('اسفند 402'!BM28=1,"ص‌'",""),IF('اسفند 402'!BL29=1,"ع‌",""),IF('اسفند 402'!BM29=1,"ع‌",""),IF('اسفند 402'!BL30=1,"ش‌",""),IF('اسفند 402'!BM30=1,"ش'‌",""), IF('اسفند 402'!BL28="*","",""), IF('اسفند 402'!BL28="@","*",""))</f>
        <v/>
      </c>
      <c r="BM24" s="92"/>
      <c r="BN24" s="93" t="str">
        <f>CONCATENATE( IF('اسفند 402'!BN28=1,"ص‌‌",""),IF('اسفند 402'!BO28=1,"ص‌'",""),IF('اسفند 402'!BN29=1,"ع‌",""),IF('اسفند 402'!BO29=1,"ع‌",""),IF('اسفند 402'!BN30=1,"ش‌",""),IF('اسفند 402'!BO30=1,"ش'‌",""), IF('اسفند 402'!BN28="*","",""), IF('اسفند 402'!BN28="@","*",""))</f>
        <v/>
      </c>
      <c r="BO24" s="93"/>
      <c r="BP24" s="83">
        <f>'اسفند 402'!C29</f>
        <v>24</v>
      </c>
    </row>
    <row r="25" spans="1:68" s="33" customFormat="1" ht="6" customHeight="1" x14ac:dyDescent="0.25">
      <c r="A25" s="88"/>
      <c r="B25" s="83"/>
      <c r="C25" s="83"/>
      <c r="D25" s="112"/>
      <c r="E25" s="83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3"/>
      <c r="AM25" s="93"/>
      <c r="AN25" s="92"/>
      <c r="AO25" s="92"/>
      <c r="AP25" s="92"/>
      <c r="AQ25" s="92"/>
      <c r="AR25" s="92"/>
      <c r="AS25" s="92"/>
      <c r="AT25" s="92"/>
      <c r="AU25" s="92"/>
      <c r="AV25" s="93"/>
      <c r="AW25" s="93"/>
      <c r="AX25" s="93"/>
      <c r="AY25" s="93"/>
      <c r="AZ25" s="93"/>
      <c r="BA25" s="93"/>
      <c r="BB25" s="92"/>
      <c r="BC25" s="92"/>
      <c r="BD25" s="92"/>
      <c r="BE25" s="92"/>
      <c r="BF25" s="92"/>
      <c r="BG25" s="92"/>
      <c r="BH25" s="92"/>
      <c r="BI25" s="92"/>
      <c r="BJ25" s="92"/>
      <c r="BK25" s="92"/>
      <c r="BL25" s="92"/>
      <c r="BM25" s="92"/>
      <c r="BN25" s="93"/>
      <c r="BO25" s="93"/>
      <c r="BP25" s="83"/>
    </row>
    <row r="26" spans="1:68" s="33" customFormat="1" ht="6" customHeight="1" x14ac:dyDescent="0.25">
      <c r="A26" s="88"/>
      <c r="B26" s="83"/>
      <c r="C26" s="83"/>
      <c r="D26" s="112"/>
      <c r="E26" s="83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3"/>
      <c r="AM26" s="93"/>
      <c r="AN26" s="92"/>
      <c r="AO26" s="92"/>
      <c r="AP26" s="92"/>
      <c r="AQ26" s="92"/>
      <c r="AR26" s="92"/>
      <c r="AS26" s="92"/>
      <c r="AT26" s="92"/>
      <c r="AU26" s="92"/>
      <c r="AV26" s="93"/>
      <c r="AW26" s="93"/>
      <c r="AX26" s="93"/>
      <c r="AY26" s="93"/>
      <c r="AZ26" s="93"/>
      <c r="BA26" s="93"/>
      <c r="BB26" s="92"/>
      <c r="BC26" s="92"/>
      <c r="BD26" s="92"/>
      <c r="BE26" s="92"/>
      <c r="BF26" s="92"/>
      <c r="BG26" s="92"/>
      <c r="BH26" s="92"/>
      <c r="BI26" s="92"/>
      <c r="BJ26" s="92"/>
      <c r="BK26" s="92"/>
      <c r="BL26" s="92"/>
      <c r="BM26" s="92"/>
      <c r="BN26" s="93"/>
      <c r="BO26" s="93"/>
      <c r="BP26" s="83"/>
    </row>
    <row r="27" spans="1:68" s="33" customFormat="1" ht="6" customHeight="1" x14ac:dyDescent="0.25">
      <c r="A27" s="88"/>
      <c r="B27" s="83">
        <v>9</v>
      </c>
      <c r="C27" s="83" t="str">
        <f>'اسفند 402'!B31</f>
        <v>x8</v>
      </c>
      <c r="D27" s="112" t="s">
        <v>29</v>
      </c>
      <c r="E27" s="83">
        <v>7</v>
      </c>
      <c r="F27" s="92" t="str">
        <f>CONCATENATE( IF('اسفند 402'!F31=1,"ص‌‌",""),IF('اسفند 402'!G31=1,"ص‌'",""),IF('اسفند 402'!F32=1,"ع‌",""),IF('اسفند 402'!G32=1,"ع‌",""),IF('اسفند 402'!F33=1,"ش‌",""),IF('اسفند 402'!G33=1,"ش'‌",""), IF('اسفند 402'!F31="*","",""), IF('اسفند 402'!F31="@","*",""))</f>
        <v/>
      </c>
      <c r="G27" s="92"/>
      <c r="H27" s="92" t="str">
        <f>CONCATENATE( IF('اسفند 402'!H31=1,"ص‌‌",""),IF('اسفند 402'!I31=1,"ص‌'",""),IF('اسفند 402'!H32=1,"ع‌",""),IF('اسفند 402'!I32=1,"ع‌",""),IF('اسفند 402'!H33=1,"ش‌",""),IF('اسفند 402'!I33=1,"ش'‌",""), IF('اسفند 402'!H31="*","",""), IF('اسفند 402'!H31="@","*",""))</f>
        <v/>
      </c>
      <c r="I27" s="92"/>
      <c r="J27" s="92" t="str">
        <f>CONCATENATE( IF('اسفند 402'!J31=1,"ص‌‌",""),IF('اسفند 402'!K31=1,"ص‌'",""),IF('اسفند 402'!J32=1,"ع‌",""),IF('اسفند 402'!K32=1,"ع‌",""),IF('اسفند 402'!J33=1,"ش‌",""),IF('اسفند 402'!K33=1,"ش'‌",""), IF('اسفند 402'!J31="*","",""), IF('اسفند 402'!J31="@","*",""))</f>
        <v/>
      </c>
      <c r="K27" s="92"/>
      <c r="L27" s="92" t="str">
        <f>CONCATENATE( IF('اسفند 402'!L31=1,"ص‌‌",""),IF('اسفند 402'!M31=1,"ص‌'",""),IF('اسفند 402'!L32=1,"ع‌",""),IF('اسفند 402'!M32=1,"ع‌",""),IF('اسفند 402'!L33=1,"ش‌",""),IF('اسفند 402'!M33=1,"ش'‌",""), IF('اسفند 402'!L31="*","",""), IF('اسفند 402'!L31="@","*",""))</f>
        <v/>
      </c>
      <c r="M27" s="92"/>
      <c r="N27" s="92" t="str">
        <f>CONCATENATE( IF('اسفند 402'!N31=1,"ص‌‌",""),IF('اسفند 402'!O31=1,"ص‌'",""),IF('اسفند 402'!N32=1,"ع‌",""),IF('اسفند 402'!O32=1,"ع‌",""),IF('اسفند 402'!N33=1,"ش‌",""),IF('اسفند 402'!O33=1,"ش'‌",""), IF('اسفند 402'!N31="*","",""), IF('اسفند 402'!N31="@","*",""))</f>
        <v/>
      </c>
      <c r="O27" s="92"/>
      <c r="P27" s="92" t="str">
        <f>CONCATENATE( IF('اسفند 402'!P31=1,"ص‌‌",""),IF('اسفند 402'!Q31=1,"ص‌'",""),IF('اسفند 402'!P32=1,"ع‌",""),IF('اسفند 402'!Q32=1,"ع‌",""),IF('اسفند 402'!P33=1,"ش‌",""),IF('اسفند 402'!Q33=1,"ش'‌",""), IF('اسفند 402'!P31="*","",""), IF('اسفند 402'!P31="@","*",""))</f>
        <v/>
      </c>
      <c r="Q27" s="92"/>
      <c r="R27" s="92" t="str">
        <f>CONCATENATE( IF('اسفند 402'!R31=1,"ص‌‌",""),IF('اسفند 402'!S31=1,"ص‌'",""),IF('اسفند 402'!R32=1,"ع‌",""),IF('اسفند 402'!S32=1,"ع‌",""),IF('اسفند 402'!R33=1,"ش‌",""),IF('اسفند 402'!S33=1,"ش'‌",""), IF('اسفند 402'!R31="*","",""), IF('اسفند 402'!R31="@","*",""))</f>
        <v>ع‌</v>
      </c>
      <c r="S27" s="92"/>
      <c r="T27" s="92" t="str">
        <f>CONCATENATE( IF('اسفند 402'!T31=1,"ص‌‌",""),IF('اسفند 402'!U31=1,"ص‌'",""),IF('اسفند 402'!T32=1,"ع‌",""),IF('اسفند 402'!U32=1,"ع‌",""),IF('اسفند 402'!T33=1,"ش‌",""),IF('اسفند 402'!U33=1,"ش'‌",""), IF('اسفند 402'!T31="*","",""), IF('اسفند 402'!T31="@","*",""))</f>
        <v>ش‌</v>
      </c>
      <c r="U27" s="92"/>
      <c r="V27" s="92" t="str">
        <f>CONCATENATE( IF('اسفند 402'!V31=1,"ص‌‌",""),IF('اسفند 402'!W31=1,"ص‌'",""),IF('اسفند 402'!V32=1,"ع‌",""),IF('اسفند 402'!W32=1,"ع‌",""),IF('اسفند 402'!V33=1,"ش‌",""),IF('اسفند 402'!W33=1,"ش'‌",""), IF('اسفند 402'!V31="*","",""), IF('اسفند 402'!V31="@","*",""))</f>
        <v/>
      </c>
      <c r="W27" s="92"/>
      <c r="X27" s="92" t="str">
        <f>CONCATENATE( IF('اسفند 402'!X31=1,"ص‌‌",""),IF('اسفند 402'!Y31=1,"ص‌'",""),IF('اسفند 402'!X32=1,"ع‌",""),IF('اسفند 402'!Y32=1,"ع‌",""),IF('اسفند 402'!X33=1,"ش‌",""),IF('اسفند 402'!Y33=1,"ش'‌",""), IF('اسفند 402'!X31="*","",""), IF('اسفند 402'!X31="@","*",""))</f>
        <v>ص‌‌ع‌</v>
      </c>
      <c r="Y27" s="92"/>
      <c r="Z27" s="92" t="str">
        <f>CONCATENATE( IF('اسفند 402'!Z31=1,"ص‌‌",""),IF('اسفند 402'!AA31=1,"ص‌'",""),IF('اسفند 402'!Z32=1,"ع‌",""),IF('اسفند 402'!AA32=1,"ع‌",""),IF('اسفند 402'!Z33=1,"ش‌",""),IF('اسفند 402'!AA33=1,"ش'‌",""), IF('اسفند 402'!Z31="*","",""), IF('اسفند 402'!Z31="@","*",""))</f>
        <v>ع‌ش‌</v>
      </c>
      <c r="AA27" s="92"/>
      <c r="AB27" s="92" t="str">
        <f>CONCATENATE( IF('اسفند 402'!AB31=1,"ص‌‌",""),IF('اسفند 402'!AC31=1,"ص‌'",""),IF('اسفند 402'!AB32=1,"ع‌",""),IF('اسفند 402'!AC32=1,"ع‌",""),IF('اسفند 402'!AB33=1,"ش‌",""),IF('اسفند 402'!AC33=1,"ش'‌",""), IF('اسفند 402'!AB31="*","",""), IF('اسفند 402'!AB31="@","*",""))</f>
        <v/>
      </c>
      <c r="AC27" s="92"/>
      <c r="AD27" s="92" t="str">
        <f>CONCATENATE( IF('اسفند 402'!AD31=1,"ص‌‌",""),IF('اسفند 402'!AE31=1,"ص‌'",""),IF('اسفند 402'!AD32=1,"ع‌",""),IF('اسفند 402'!AE32=1,"ع‌",""),IF('اسفند 402'!AD33=1,"ش‌",""),IF('اسفند 402'!AE33=1,"ش'‌",""), IF('اسفند 402'!AD31="*","",""), IF('اسفند 402'!AD31="@","*",""))</f>
        <v>ع‌ش‌</v>
      </c>
      <c r="AE27" s="92"/>
      <c r="AF27" s="92" t="str">
        <f>CONCATENATE( IF('اسفند 402'!AF31=1,"ص‌‌",""),IF('اسفند 402'!AG31=1,"ص‌'",""),IF('اسفند 402'!AF32=1,"ع‌",""),IF('اسفند 402'!AG32=1,"ع‌",""),IF('اسفند 402'!AF33=1,"ش‌",""),IF('اسفند 402'!AG33=1,"ش'‌",""), IF('اسفند 402'!AF31="*","",""), IF('اسفند 402'!AF31="@","*",""))</f>
        <v/>
      </c>
      <c r="AG27" s="92"/>
      <c r="AH27" s="92" t="str">
        <f>CONCATENATE( IF('اسفند 402'!AH31=1,"ص‌‌",""),IF('اسفند 402'!AI31=1,"ص‌'",""),IF('اسفند 402'!AH32=1,"ع‌",""),IF('اسفند 402'!AI32=1,"ع‌",""),IF('اسفند 402'!AH33=1,"ش‌",""),IF('اسفند 402'!AI33=1,"ش'‌",""), IF('اسفند 402'!AH31="*","",""), IF('اسفند 402'!AH31="@","*",""))</f>
        <v>ع‌</v>
      </c>
      <c r="AI27" s="92"/>
      <c r="AJ27" s="92" t="str">
        <f>CONCATENATE( IF('اسفند 402'!AJ31=1,"ص‌‌",""),IF('اسفند 402'!AK31=1,"ص‌'",""),IF('اسفند 402'!AJ32=1,"ع‌",""),IF('اسفند 402'!AK32=1,"ع‌",""),IF('اسفند 402'!AJ33=1,"ش‌",""),IF('اسفند 402'!AK33=1,"ش'‌",""), IF('اسفند 402'!AJ31="*","",""), IF('اسفند 402'!AJ31="@","*",""))</f>
        <v>ص‌‌ع‌</v>
      </c>
      <c r="AK27" s="92"/>
      <c r="AL27" s="93" t="str">
        <f>CONCATENATE( IF('اسفند 402'!AL31=1,"ص‌‌",""),IF('اسفند 402'!AM31=1,"ص‌'",""),IF('اسفند 402'!AL32=1,"ع‌",""),IF('اسفند 402'!AM32=1,"ع‌",""),IF('اسفند 402'!AL33=1,"ش‌",""),IF('اسفند 402'!AM33=1,"ش'‌",""), IF('اسفند 402'!AL31="*","",""), IF('اسفند 402'!AL31="@","*",""))</f>
        <v/>
      </c>
      <c r="AM27" s="93"/>
      <c r="AN27" s="92" t="str">
        <f>CONCATENATE( IF('اسفند 402'!AN31=1,"ص‌‌",""),IF('اسفند 402'!AO31=1,"ص‌'",""),IF('اسفند 402'!AN32=1,"ع‌",""),IF('اسفند 402'!AO32=1,"ع‌",""),IF('اسفند 402'!AN33=1,"ش‌",""),IF('اسفند 402'!AO33=1,"ش'‌",""), IF('اسفند 402'!AN31="*","",""), IF('اسفند 402'!AN31="@","*",""))</f>
        <v>ص‌‌</v>
      </c>
      <c r="AO27" s="92"/>
      <c r="AP27" s="92" t="str">
        <f>CONCATENATE( IF('اسفند 402'!AP31=1,"ص‌‌",""),IF('اسفند 402'!AQ31=1,"ص‌'",""),IF('اسفند 402'!AP32=1,"ع‌",""),IF('اسفند 402'!AQ32=1,"ع‌",""),IF('اسفند 402'!AP33=1,"ش‌",""),IF('اسفند 402'!AQ33=1,"ش'‌",""), IF('اسفند 402'!AP31="*","",""), IF('اسفند 402'!AP31="@","*",""))</f>
        <v/>
      </c>
      <c r="AQ27" s="92"/>
      <c r="AR27" s="92" t="str">
        <f>CONCATENATE( IF('اسفند 402'!AR31=1,"ص‌‌",""),IF('اسفند 402'!AS31=1,"ص‌'",""),IF('اسفند 402'!AR32=1,"ع‌",""),IF('اسفند 402'!AS32=1,"ع‌",""),IF('اسفند 402'!AR33=1,"ش‌",""),IF('اسفند 402'!AS33=1,"ش'‌",""), IF('اسفند 402'!AR31="*","",""), IF('اسفند 402'!AR31="@","*",""))</f>
        <v>ص‌‌ع‌</v>
      </c>
      <c r="AS27" s="92"/>
      <c r="AT27" s="92" t="str">
        <f>CONCATENATE( IF('اسفند 402'!AT31=1,"ص‌‌",""),IF('اسفند 402'!AU31=1,"ص‌'",""),IF('اسفند 402'!AT32=1,"ع‌",""),IF('اسفند 402'!AU32=1,"ع‌",""),IF('اسفند 402'!AT33=1,"ش‌",""),IF('اسفند 402'!AU33=1,"ش'‌",""), IF('اسفند 402'!AT31="*","",""), IF('اسفند 402'!AT31="@","*",""))</f>
        <v/>
      </c>
      <c r="AU27" s="92"/>
      <c r="AV27" s="93" t="str">
        <f>CONCATENATE( IF('اسفند 402'!AV31=1,"ص‌‌",""),IF('اسفند 402'!AW31=1,"ص‌'",""),IF('اسفند 402'!AV32=1,"ع‌",""),IF('اسفند 402'!AW32=1,"ع‌",""),IF('اسفند 402'!AV33=1,"ش‌",""),IF('اسفند 402'!AW33=1,"ش'‌",""), IF('اسفند 402'!AV31="*","",""), IF('اسفند 402'!AV31="@","*",""))</f>
        <v/>
      </c>
      <c r="AW27" s="93"/>
      <c r="AX27" s="93" t="str">
        <f>CONCATENATE( IF('اسفند 402'!AX31=1,"ص‌‌",""),IF('اسفند 402'!AY31=1,"ص‌'",""),IF('اسفند 402'!AX32=1,"ع‌",""),IF('اسفند 402'!AY32=1,"ع‌",""),IF('اسفند 402'!AX33=1,"ش‌",""),IF('اسفند 402'!AY33=1,"ش'‌",""), IF('اسفند 402'!AX31="*","",""), IF('اسفند 402'!AX31="@","*",""))</f>
        <v/>
      </c>
      <c r="AY27" s="93"/>
      <c r="AZ27" s="93" t="str">
        <f>CONCATENATE( IF('اسفند 402'!AZ31=1,"ص‌‌",""),IF('اسفند 402'!BA31=1,"ص‌'",""),IF('اسفند 402'!AZ32=1,"ع‌",""),IF('اسفند 402'!BA32=1,"ع‌",""),IF('اسفند 402'!AZ33=1,"ش‌",""),IF('اسفند 402'!BA33=1,"ش'‌",""), IF('اسفند 402'!AZ31="*","",""), IF('اسفند 402'!AZ31="@","*",""))</f>
        <v/>
      </c>
      <c r="BA27" s="93"/>
      <c r="BB27" s="92" t="str">
        <f>CONCATENATE( IF('اسفند 402'!BB31=1,"ص‌‌",""),IF('اسفند 402'!BC31=1,"ص‌'",""),IF('اسفند 402'!BB32=1,"ع‌",""),IF('اسفند 402'!BC32=1,"ع‌",""),IF('اسفند 402'!BB33=1,"ش‌",""),IF('اسفند 402'!BC33=1,"ش'‌",""), IF('اسفند 402'!BB31="*","",""), IF('اسفند 402'!BB31="@","*",""))</f>
        <v>ش‌</v>
      </c>
      <c r="BC27" s="92"/>
      <c r="BD27" s="92" t="str">
        <f>CONCATENATE( IF('اسفند 402'!BD31=1,"ص‌‌",""),IF('اسفند 402'!BE31=1,"ص‌'",""),IF('اسفند 402'!BD32=1,"ع‌",""),IF('اسفند 402'!BE32=1,"ع‌",""),IF('اسفند 402'!BD33=1,"ش‌",""),IF('اسفند 402'!BE33=1,"ش'‌",""), IF('اسفند 402'!BD31="*","",""), IF('اسفند 402'!BD31="@","*",""))</f>
        <v/>
      </c>
      <c r="BE27" s="92"/>
      <c r="BF27" s="92" t="str">
        <f>CONCATENATE( IF('اسفند 402'!BF31=1,"ص‌‌",""),IF('اسفند 402'!BG31=1,"ص‌'",""),IF('اسفند 402'!BF32=1,"ع‌",""),IF('اسفند 402'!BG32=1,"ع‌",""),IF('اسفند 402'!BF33=1,"ش‌",""),IF('اسفند 402'!BG33=1,"ش'‌",""), IF('اسفند 402'!BF31="*","",""), IF('اسفند 402'!BF31="@","*",""))</f>
        <v>ص‌‌ع‌</v>
      </c>
      <c r="BG27" s="92"/>
      <c r="BH27" s="92" t="str">
        <f>CONCATENATE( IF('اسفند 402'!BH31=1,"ص‌‌",""),IF('اسفند 402'!BI31=1,"ص‌'",""),IF('اسفند 402'!BH32=1,"ع‌",""),IF('اسفند 402'!BI32=1,"ع‌",""),IF('اسفند 402'!BH33=1,"ش‌",""),IF('اسفند 402'!BI33=1,"ش'‌",""), IF('اسفند 402'!BH31="*","",""), IF('اسفند 402'!BH31="@","*",""))</f>
        <v/>
      </c>
      <c r="BI27" s="92"/>
      <c r="BJ27" s="92" t="str">
        <f>CONCATENATE( IF('اسفند 402'!BJ31=1,"ص‌‌",""),IF('اسفند 402'!BK31=1,"ص‌'",""),IF('اسفند 402'!BJ32=1,"ع‌",""),IF('اسفند 402'!BK32=1,"ع‌",""),IF('اسفند 402'!BJ33=1,"ش‌",""),IF('اسفند 402'!BK33=1,"ش'‌",""), IF('اسفند 402'!BJ31="*","",""), IF('اسفند 402'!BJ31="@","*",""))</f>
        <v>ص‌‌</v>
      </c>
      <c r="BK27" s="92"/>
      <c r="BL27" s="92" t="str">
        <f>CONCATENATE( IF('اسفند 402'!BL31=1,"ص‌‌",""),IF('اسفند 402'!BM31=1,"ص‌'",""),IF('اسفند 402'!BL32=1,"ع‌",""),IF('اسفند 402'!BM32=1,"ع‌",""),IF('اسفند 402'!BL33=1,"ش‌",""),IF('اسفند 402'!BM33=1,"ش'‌",""), IF('اسفند 402'!BL31="*","",""), IF('اسفند 402'!BL31="@","*",""))</f>
        <v>ص‌‌ع‌</v>
      </c>
      <c r="BM27" s="92"/>
      <c r="BN27" s="93" t="str">
        <f>CONCATENATE( IF('اسفند 402'!BN31=1,"ص‌‌",""),IF('اسفند 402'!BO31=1,"ص‌'",""),IF('اسفند 402'!BN32=1,"ع‌",""),IF('اسفند 402'!BO32=1,"ع‌",""),IF('اسفند 402'!BN33=1,"ش‌",""),IF('اسفند 402'!BO33=1,"ش'‌",""), IF('اسفند 402'!BN31="*","",""), IF('اسفند 402'!BN31="@","*",""))</f>
        <v>*</v>
      </c>
      <c r="BO27" s="93"/>
      <c r="BP27" s="83">
        <f>'اسفند 402'!C32</f>
        <v>24</v>
      </c>
    </row>
    <row r="28" spans="1:68" s="33" customFormat="1" ht="6" customHeight="1" x14ac:dyDescent="0.25">
      <c r="A28" s="88"/>
      <c r="B28" s="83"/>
      <c r="C28" s="83"/>
      <c r="D28" s="112"/>
      <c r="E28" s="83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3"/>
      <c r="AM28" s="93"/>
      <c r="AN28" s="92"/>
      <c r="AO28" s="92"/>
      <c r="AP28" s="92"/>
      <c r="AQ28" s="92"/>
      <c r="AR28" s="92"/>
      <c r="AS28" s="92"/>
      <c r="AT28" s="92"/>
      <c r="AU28" s="92"/>
      <c r="AV28" s="93"/>
      <c r="AW28" s="93"/>
      <c r="AX28" s="93"/>
      <c r="AY28" s="93"/>
      <c r="AZ28" s="93"/>
      <c r="BA28" s="93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3"/>
      <c r="BO28" s="93"/>
      <c r="BP28" s="83"/>
    </row>
    <row r="29" spans="1:68" s="33" customFormat="1" ht="6" customHeight="1" x14ac:dyDescent="0.25">
      <c r="A29" s="88"/>
      <c r="B29" s="83"/>
      <c r="C29" s="83"/>
      <c r="D29" s="112"/>
      <c r="E29" s="83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3"/>
      <c r="AM29" s="93"/>
      <c r="AN29" s="92"/>
      <c r="AO29" s="92"/>
      <c r="AP29" s="92"/>
      <c r="AQ29" s="92"/>
      <c r="AR29" s="92"/>
      <c r="AS29" s="92"/>
      <c r="AT29" s="92"/>
      <c r="AU29" s="92"/>
      <c r="AV29" s="93"/>
      <c r="AW29" s="93"/>
      <c r="AX29" s="93"/>
      <c r="AY29" s="93"/>
      <c r="AZ29" s="93"/>
      <c r="BA29" s="93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3"/>
      <c r="BO29" s="93"/>
      <c r="BP29" s="83"/>
    </row>
    <row r="30" spans="1:68" s="33" customFormat="1" ht="6" customHeight="1" x14ac:dyDescent="0.25">
      <c r="A30" s="88"/>
      <c r="B30" s="83">
        <v>10</v>
      </c>
      <c r="C30" s="83" t="str">
        <f>'اسفند 402'!B34</f>
        <v>x9</v>
      </c>
      <c r="D30" s="112" t="s">
        <v>29</v>
      </c>
      <c r="E30" s="83">
        <v>4.5</v>
      </c>
      <c r="F30" s="92" t="str">
        <f>CONCATENATE( IF('اسفند 402'!F34=1,"ص‌‌",""),IF('اسفند 402'!G34=1,"ص‌'",""),IF('اسفند 402'!F35=1,"ع‌",""),IF('اسفند 402'!G35=1,"ع‌",""),IF('اسفند 402'!F36=1,"ش‌",""),IF('اسفند 402'!G36=1,"ش'‌",""), IF('اسفند 402'!F34="*","",""), IF('اسفند 402'!F34="@","*",""))</f>
        <v/>
      </c>
      <c r="G30" s="92"/>
      <c r="H30" s="92" t="str">
        <f>CONCATENATE( IF('اسفند 402'!H34=1,"ص‌‌",""),IF('اسفند 402'!I34=1,"ص‌'",""),IF('اسفند 402'!H35=1,"ع‌",""),IF('اسفند 402'!I35=1,"ع‌",""),IF('اسفند 402'!H36=1,"ش‌",""),IF('اسفند 402'!I36=1,"ش'‌",""), IF('اسفند 402'!H34="*","",""), IF('اسفند 402'!H34="@","*",""))</f>
        <v>ع‌</v>
      </c>
      <c r="I30" s="92"/>
      <c r="J30" s="92" t="str">
        <f>CONCATENATE( IF('اسفند 402'!J34=1,"ص‌‌",""),IF('اسفند 402'!K34=1,"ص‌'",""),IF('اسفند 402'!J35=1,"ع‌",""),IF('اسفند 402'!K35=1,"ع‌",""),IF('اسفند 402'!J36=1,"ش‌",""),IF('اسفند 402'!K36=1,"ش'‌",""), IF('اسفند 402'!J34="*","",""), IF('اسفند 402'!J34="@","*",""))</f>
        <v>ع‌ش‌</v>
      </c>
      <c r="K30" s="92"/>
      <c r="L30" s="92" t="str">
        <f>CONCATENATE( IF('اسفند 402'!L34=1,"ص‌‌",""),IF('اسفند 402'!M34=1,"ص‌'",""),IF('اسفند 402'!L35=1,"ع‌",""),IF('اسفند 402'!M35=1,"ع‌",""),IF('اسفند 402'!L36=1,"ش‌",""),IF('اسفند 402'!M36=1,"ش'‌",""), IF('اسفند 402'!L34="*","",""), IF('اسفند 402'!L34="@","*",""))</f>
        <v/>
      </c>
      <c r="M30" s="92"/>
      <c r="N30" s="92" t="str">
        <f>CONCATENATE( IF('اسفند 402'!N34=1,"ص‌‌",""),IF('اسفند 402'!O34=1,"ص‌'",""),IF('اسفند 402'!N35=1,"ع‌",""),IF('اسفند 402'!O35=1,"ع‌",""),IF('اسفند 402'!N36=1,"ش‌",""),IF('اسفند 402'!O36=1,"ش'‌",""), IF('اسفند 402'!N34="*","",""), IF('اسفند 402'!N34="@","*",""))</f>
        <v>ع‌ش‌</v>
      </c>
      <c r="O30" s="92"/>
      <c r="P30" s="92" t="str">
        <f>CONCATENATE( IF('اسفند 402'!P34=1,"ص‌‌",""),IF('اسفند 402'!Q34=1,"ص‌'",""),IF('اسفند 402'!P35=1,"ع‌",""),IF('اسفند 402'!Q35=1,"ع‌",""),IF('اسفند 402'!P36=1,"ش‌",""),IF('اسفند 402'!Q36=1,"ش'‌",""), IF('اسفند 402'!P34="*","",""), IF('اسفند 402'!P34="@","*",""))</f>
        <v/>
      </c>
      <c r="Q30" s="92"/>
      <c r="R30" s="92" t="str">
        <f>CONCATENATE( IF('اسفند 402'!R34=1,"ص‌‌",""),IF('اسفند 402'!S34=1,"ص‌'",""),IF('اسفند 402'!R35=1,"ع‌",""),IF('اسفند 402'!S35=1,"ع‌",""),IF('اسفند 402'!R36=1,"ش‌",""),IF('اسفند 402'!S36=1,"ش'‌",""), IF('اسفند 402'!R34="*","",""), IF('اسفند 402'!R34="@","*",""))</f>
        <v/>
      </c>
      <c r="S30" s="92"/>
      <c r="T30" s="92" t="str">
        <f>CONCATENATE( IF('اسفند 402'!T34=1,"ص‌‌",""),IF('اسفند 402'!U34=1,"ص‌'",""),IF('اسفند 402'!T35=1,"ع‌",""),IF('اسفند 402'!U35=1,"ع‌",""),IF('اسفند 402'!T36=1,"ش‌",""),IF('اسفند 402'!U36=1,"ش'‌",""), IF('اسفند 402'!T34="*","",""), IF('اسفند 402'!T34="@","*",""))</f>
        <v/>
      </c>
      <c r="U30" s="92"/>
      <c r="V30" s="92" t="str">
        <f>CONCATENATE( IF('اسفند 402'!V34=1,"ص‌‌",""),IF('اسفند 402'!W34=1,"ص‌'",""),IF('اسفند 402'!V35=1,"ع‌",""),IF('اسفند 402'!W35=1,"ع‌",""),IF('اسفند 402'!V36=1,"ش‌",""),IF('اسفند 402'!W36=1,"ش'‌",""), IF('اسفند 402'!V34="*","",""), IF('اسفند 402'!V34="@","*",""))</f>
        <v/>
      </c>
      <c r="W30" s="92"/>
      <c r="X30" s="92" t="str">
        <f>CONCATENATE( IF('اسفند 402'!X34=1,"ص‌‌",""),IF('اسفند 402'!Y34=1,"ص‌'",""),IF('اسفند 402'!X35=1,"ع‌",""),IF('اسفند 402'!Y35=1,"ع‌",""),IF('اسفند 402'!X36=1,"ش‌",""),IF('اسفند 402'!Y36=1,"ش'‌",""), IF('اسفند 402'!X34="*","",""), IF('اسفند 402'!X34="@","*",""))</f>
        <v/>
      </c>
      <c r="Y30" s="92"/>
      <c r="Z30" s="92" t="str">
        <f>CONCATENATE( IF('اسفند 402'!Z34=1,"ص‌‌",""),IF('اسفند 402'!AA34=1,"ص‌'",""),IF('اسفند 402'!Z35=1,"ع‌",""),IF('اسفند 402'!AA35=1,"ع‌",""),IF('اسفند 402'!Z36=1,"ش‌",""),IF('اسفند 402'!AA36=1,"ش'‌",""), IF('اسفند 402'!Z34="*","",""), IF('اسفند 402'!Z34="@","*",""))</f>
        <v/>
      </c>
      <c r="AA30" s="92"/>
      <c r="AB30" s="92" t="str">
        <f>CONCATENATE( IF('اسفند 402'!AB34=1,"ص‌‌",""),IF('اسفند 402'!AC34=1,"ص‌'",""),IF('اسفند 402'!AB35=1,"ع‌",""),IF('اسفند 402'!AC35=1,"ع‌",""),IF('اسفند 402'!AB36=1,"ش‌",""),IF('اسفند 402'!AC36=1,"ش'‌",""), IF('اسفند 402'!AB34="*","",""), IF('اسفند 402'!AB34="@","*",""))</f>
        <v/>
      </c>
      <c r="AC30" s="92"/>
      <c r="AD30" s="92" t="str">
        <f>CONCATENATE( IF('اسفند 402'!AD34=1,"ص‌‌",""),IF('اسفند 402'!AE34=1,"ص‌'",""),IF('اسفند 402'!AD35=1,"ع‌",""),IF('اسفند 402'!AE35=1,"ع‌",""),IF('اسفند 402'!AD36=1,"ش‌",""),IF('اسفند 402'!AE36=1,"ش'‌",""), IF('اسفند 402'!AD34="*","",""), IF('اسفند 402'!AD34="@","*",""))</f>
        <v/>
      </c>
      <c r="AE30" s="92"/>
      <c r="AF30" s="92" t="str">
        <f>CONCATENATE( IF('اسفند 402'!AF34=1,"ص‌‌",""),IF('اسفند 402'!AG34=1,"ص‌'",""),IF('اسفند 402'!AF35=1,"ع‌",""),IF('اسفند 402'!AG35=1,"ع‌",""),IF('اسفند 402'!AF36=1,"ش‌",""),IF('اسفند 402'!AG36=1,"ش'‌",""), IF('اسفند 402'!AF34="*","",""), IF('اسفند 402'!AF34="@","*",""))</f>
        <v/>
      </c>
      <c r="AG30" s="92"/>
      <c r="AH30" s="92" t="str">
        <f>CONCATENATE( IF('اسفند 402'!AH34=1,"ص‌‌",""),IF('اسفند 402'!AI34=1,"ص‌'",""),IF('اسفند 402'!AH35=1,"ع‌",""),IF('اسفند 402'!AI35=1,"ع‌",""),IF('اسفند 402'!AH36=1,"ش‌",""),IF('اسفند 402'!AI36=1,"ش'‌",""), IF('اسفند 402'!AH34="*","",""), IF('اسفند 402'!AH34="@","*",""))</f>
        <v>ع‌</v>
      </c>
      <c r="AI30" s="92"/>
      <c r="AJ30" s="92" t="str">
        <f>CONCATENATE( IF('اسفند 402'!AJ34=1,"ص‌‌",""),IF('اسفند 402'!AK34=1,"ص‌'",""),IF('اسفند 402'!AJ35=1,"ع‌",""),IF('اسفند 402'!AK35=1,"ع‌",""),IF('اسفند 402'!AJ36=1,"ش‌",""),IF('اسفند 402'!AK36=1,"ش'‌",""), IF('اسفند 402'!AJ34="*","",""), IF('اسفند 402'!AJ34="@","*",""))</f>
        <v/>
      </c>
      <c r="AK30" s="92"/>
      <c r="AL30" s="93" t="str">
        <f>CONCATENATE( IF('اسفند 402'!AL34=1,"ص‌‌",""),IF('اسفند 402'!AM34=1,"ص‌'",""),IF('اسفند 402'!AL35=1,"ع‌",""),IF('اسفند 402'!AM35=1,"ع‌",""),IF('اسفند 402'!AL36=1,"ش‌",""),IF('اسفند 402'!AM36=1,"ش'‌",""), IF('اسفند 402'!AL34="*","",""), IF('اسفند 402'!AL34="@","*",""))</f>
        <v/>
      </c>
      <c r="AM30" s="93"/>
      <c r="AN30" s="92" t="str">
        <f>CONCATENATE( IF('اسفند 402'!AN34=1,"ص‌‌",""),IF('اسفند 402'!AO34=1,"ص‌'",""),IF('اسفند 402'!AN35=1,"ع‌",""),IF('اسفند 402'!AO35=1,"ع‌",""),IF('اسفند 402'!AN36=1,"ش‌",""),IF('اسفند 402'!AO36=1,"ش'‌",""), IF('اسفند 402'!AN34="*","",""), IF('اسفند 402'!AN34="@","*",""))</f>
        <v>ع‌ش‌</v>
      </c>
      <c r="AO30" s="92"/>
      <c r="AP30" s="92" t="str">
        <f>CONCATENATE( IF('اسفند 402'!AP34=1,"ص‌‌",""),IF('اسفند 402'!AQ34=1,"ص‌'",""),IF('اسفند 402'!AP35=1,"ع‌",""),IF('اسفند 402'!AQ35=1,"ع‌",""),IF('اسفند 402'!AP36=1,"ش‌",""),IF('اسفند 402'!AQ36=1,"ش'‌",""), IF('اسفند 402'!AP34="*","",""), IF('اسفند 402'!AP34="@","*",""))</f>
        <v/>
      </c>
      <c r="AQ30" s="92"/>
      <c r="AR30" s="92" t="str">
        <f>CONCATENATE( IF('اسفند 402'!AR34=1,"ص‌‌",""),IF('اسفند 402'!AS34=1,"ص‌'",""),IF('اسفند 402'!AR35=1,"ع‌",""),IF('اسفند 402'!AS35=1,"ع‌",""),IF('اسفند 402'!AR36=1,"ش‌",""),IF('اسفند 402'!AS36=1,"ش'‌",""), IF('اسفند 402'!AR34="*","",""), IF('اسفند 402'!AR34="@","*",""))</f>
        <v/>
      </c>
      <c r="AS30" s="92"/>
      <c r="AT30" s="92" t="str">
        <f>CONCATENATE( IF('اسفند 402'!AT34=1,"ص‌‌",""),IF('اسفند 402'!AU34=1,"ص‌'",""),IF('اسفند 402'!AT35=1,"ع‌",""),IF('اسفند 402'!AU35=1,"ع‌",""),IF('اسفند 402'!AT36=1,"ش‌",""),IF('اسفند 402'!AU36=1,"ش'‌",""), IF('اسفند 402'!AT34="*","",""), IF('اسفند 402'!AT34="@","*",""))</f>
        <v>*</v>
      </c>
      <c r="AU30" s="92"/>
      <c r="AV30" s="93" t="str">
        <f>CONCATENATE( IF('اسفند 402'!AV34=1,"ص‌‌",""),IF('اسفند 402'!AW34=1,"ص‌'",""),IF('اسفند 402'!AV35=1,"ع‌",""),IF('اسفند 402'!AW35=1,"ع‌",""),IF('اسفند 402'!AV36=1,"ش‌",""),IF('اسفند 402'!AW36=1,"ش'‌",""), IF('اسفند 402'!AV34="*","",""), IF('اسفند 402'!AV34="@","*",""))</f>
        <v/>
      </c>
      <c r="AW30" s="93"/>
      <c r="AX30" s="93" t="str">
        <f>CONCATENATE( IF('اسفند 402'!AX34=1,"ص‌‌",""),IF('اسفند 402'!AY34=1,"ص‌'",""),IF('اسفند 402'!AX35=1,"ع‌",""),IF('اسفند 402'!AY35=1,"ع‌",""),IF('اسفند 402'!AX36=1,"ش‌",""),IF('اسفند 402'!AY36=1,"ش'‌",""), IF('اسفند 402'!AX34="*","",""), IF('اسفند 402'!AX34="@","*",""))</f>
        <v>ش‌</v>
      </c>
      <c r="AY30" s="93"/>
      <c r="AZ30" s="93" t="str">
        <f>CONCATENATE( IF('اسفند 402'!AZ34=1,"ص‌‌",""),IF('اسفند 402'!BA34=1,"ص‌'",""),IF('اسفند 402'!AZ35=1,"ع‌",""),IF('اسفند 402'!BA35=1,"ع‌",""),IF('اسفند 402'!AZ36=1,"ش‌",""),IF('اسفند 402'!BA36=1,"ش'‌",""), IF('اسفند 402'!AZ34="*","",""), IF('اسفند 402'!AZ34="@","*",""))</f>
        <v/>
      </c>
      <c r="BA30" s="93"/>
      <c r="BB30" s="92" t="str">
        <f>CONCATENATE( IF('اسفند 402'!BB34=1,"ص‌‌",""),IF('اسفند 402'!BC34=1,"ص‌'",""),IF('اسفند 402'!BB35=1,"ع‌",""),IF('اسفند 402'!BC35=1,"ع‌",""),IF('اسفند 402'!BB36=1,"ش‌",""),IF('اسفند 402'!BC36=1,"ش'‌",""), IF('اسفند 402'!BB34="*","",""), IF('اسفند 402'!BB34="@","*",""))</f>
        <v>ش‌</v>
      </c>
      <c r="BC30" s="92"/>
      <c r="BD30" s="92" t="str">
        <f>CONCATENATE( IF('اسفند 402'!BD34=1,"ص‌‌",""),IF('اسفند 402'!BE34=1,"ص‌'",""),IF('اسفند 402'!BD35=1,"ع‌",""),IF('اسفند 402'!BE35=1,"ع‌",""),IF('اسفند 402'!BD36=1,"ش‌",""),IF('اسفند 402'!BE36=1,"ش'‌",""), IF('اسفند 402'!BD34="*","",""), IF('اسفند 402'!BD34="@","*",""))</f>
        <v/>
      </c>
      <c r="BE30" s="92"/>
      <c r="BF30" s="92" t="str">
        <f>CONCATENATE( IF('اسفند 402'!BF34=1,"ص‌‌",""),IF('اسفند 402'!BG34=1,"ص‌'",""),IF('اسفند 402'!BF35=1,"ع‌",""),IF('اسفند 402'!BG35=1,"ع‌",""),IF('اسفند 402'!BF36=1,"ش‌",""),IF('اسفند 402'!BG36=1,"ش'‌",""), IF('اسفند 402'!BF34="*","",""), IF('اسفند 402'!BF34="@","*",""))</f>
        <v>ع‌ش‌</v>
      </c>
      <c r="BG30" s="92"/>
      <c r="BH30" s="92" t="str">
        <f>CONCATENATE( IF('اسفند 402'!BH34=1,"ص‌‌",""),IF('اسفند 402'!BI34=1,"ص‌'",""),IF('اسفند 402'!BH35=1,"ع‌",""),IF('اسفند 402'!BI35=1,"ع‌",""),IF('اسفند 402'!BH36=1,"ش‌",""),IF('اسفند 402'!BI36=1,"ش'‌",""), IF('اسفند 402'!BH34="*","",""), IF('اسفند 402'!BH34="@","*",""))</f>
        <v/>
      </c>
      <c r="BI30" s="92"/>
      <c r="BJ30" s="92" t="str">
        <f>CONCATENATE( IF('اسفند 402'!BJ34=1,"ص‌‌",""),IF('اسفند 402'!BK34=1,"ص‌'",""),IF('اسفند 402'!BJ35=1,"ع‌",""),IF('اسفند 402'!BK35=1,"ع‌",""),IF('اسفند 402'!BJ36=1,"ش‌",""),IF('اسفند 402'!BK36=1,"ش'‌",""), IF('اسفند 402'!BJ34="*","",""), IF('اسفند 402'!BJ34="@","*",""))</f>
        <v>ع‌</v>
      </c>
      <c r="BK30" s="92"/>
      <c r="BL30" s="92" t="str">
        <f>CONCATENATE( IF('اسفند 402'!BL34=1,"ص‌‌",""),IF('اسفند 402'!BM34=1,"ص‌'",""),IF('اسفند 402'!BL35=1,"ع‌",""),IF('اسفند 402'!BM35=1,"ع‌",""),IF('اسفند 402'!BL36=1,"ش‌",""),IF('اسفند 402'!BM36=1,"ش'‌",""), IF('اسفند 402'!BL34="*","",""), IF('اسفند 402'!BL34="@","*",""))</f>
        <v/>
      </c>
      <c r="BM30" s="92"/>
      <c r="BN30" s="93" t="str">
        <f>CONCATENATE( IF('اسفند 402'!BN34=1,"ص‌‌",""),IF('اسفند 402'!BO34=1,"ص‌'",""),IF('اسفند 402'!BN35=1,"ع‌",""),IF('اسفند 402'!BO35=1,"ع‌",""),IF('اسفند 402'!BN36=1,"ش‌",""),IF('اسفند 402'!BO36=1,"ش'‌",""), IF('اسفند 402'!BN34="*","",""), IF('اسفند 402'!BN34="@","*",""))</f>
        <v>ع‌</v>
      </c>
      <c r="BO30" s="93"/>
      <c r="BP30" s="83">
        <f>'اسفند 402'!C35</f>
        <v>20</v>
      </c>
    </row>
    <row r="31" spans="1:68" s="33" customFormat="1" ht="6" customHeight="1" x14ac:dyDescent="0.25">
      <c r="A31" s="88"/>
      <c r="B31" s="83"/>
      <c r="C31" s="83"/>
      <c r="D31" s="112"/>
      <c r="E31" s="83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3"/>
      <c r="AM31" s="93"/>
      <c r="AN31" s="92"/>
      <c r="AO31" s="92"/>
      <c r="AP31" s="92"/>
      <c r="AQ31" s="92"/>
      <c r="AR31" s="92"/>
      <c r="AS31" s="92"/>
      <c r="AT31" s="92"/>
      <c r="AU31" s="92"/>
      <c r="AV31" s="93"/>
      <c r="AW31" s="93"/>
      <c r="AX31" s="93"/>
      <c r="AY31" s="93"/>
      <c r="AZ31" s="93"/>
      <c r="BA31" s="93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3"/>
      <c r="BO31" s="93"/>
      <c r="BP31" s="83"/>
    </row>
    <row r="32" spans="1:68" s="33" customFormat="1" ht="6" customHeight="1" x14ac:dyDescent="0.25">
      <c r="A32" s="88"/>
      <c r="B32" s="83"/>
      <c r="C32" s="83"/>
      <c r="D32" s="112"/>
      <c r="E32" s="83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3"/>
      <c r="AM32" s="93"/>
      <c r="AN32" s="92"/>
      <c r="AO32" s="92"/>
      <c r="AP32" s="92"/>
      <c r="AQ32" s="92"/>
      <c r="AR32" s="92"/>
      <c r="AS32" s="92"/>
      <c r="AT32" s="92"/>
      <c r="AU32" s="92"/>
      <c r="AV32" s="93"/>
      <c r="AW32" s="93"/>
      <c r="AX32" s="93"/>
      <c r="AY32" s="93"/>
      <c r="AZ32" s="93"/>
      <c r="BA32" s="93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3"/>
      <c r="BO32" s="93"/>
      <c r="BP32" s="83"/>
    </row>
    <row r="33" spans="1:68" s="33" customFormat="1" ht="6" customHeight="1" x14ac:dyDescent="0.25">
      <c r="A33" s="88"/>
      <c r="B33" s="83">
        <v>11</v>
      </c>
      <c r="C33" s="83" t="str">
        <f>'اسفند 402'!B37</f>
        <v>x10</v>
      </c>
      <c r="D33" s="112" t="s">
        <v>29</v>
      </c>
      <c r="E33" s="83">
        <v>2</v>
      </c>
      <c r="F33" s="92" t="str">
        <f>CONCATENATE( IF('اسفند 402'!F37=1,"ص‌‌",""),IF('اسفند 402'!G37=1,"ص‌'",""),IF('اسفند 402'!F38=1,"ع‌",""),IF('اسفند 402'!G38=1,"ع‌",""),IF('اسفند 402'!F39=1,"ش‌",""),IF('اسفند 402'!G39=1,"ش'‌",""), IF('اسفند 402'!F37="*","",""), IF('اسفند 402'!F37="@","*",""))</f>
        <v>ص‌‌ش‌</v>
      </c>
      <c r="G33" s="92"/>
      <c r="H33" s="92" t="str">
        <f>CONCATENATE( IF('اسفند 402'!H37=1,"ص‌‌",""),IF('اسفند 402'!I37=1,"ص‌'",""),IF('اسفند 402'!H38=1,"ع‌",""),IF('اسفند 402'!I38=1,"ع‌",""),IF('اسفند 402'!H39=1,"ش‌",""),IF('اسفند 402'!I39=1,"ش'‌",""), IF('اسفند 402'!H37="*","",""), IF('اسفند 402'!H37="@","*",""))</f>
        <v/>
      </c>
      <c r="I33" s="92"/>
      <c r="J33" s="92" t="str">
        <f>CONCATENATE( IF('اسفند 402'!J37=1,"ص‌‌",""),IF('اسفند 402'!K37=1,"ص‌'",""),IF('اسفند 402'!J38=1,"ع‌",""),IF('اسفند 402'!K38=1,"ع‌",""),IF('اسفند 402'!J39=1,"ش‌",""),IF('اسفند 402'!K39=1,"ش'‌",""), IF('اسفند 402'!J37="*","",""), IF('اسفند 402'!J37="@","*",""))</f>
        <v>ص‌‌ش‌</v>
      </c>
      <c r="K33" s="92"/>
      <c r="L33" s="92" t="str">
        <f>CONCATENATE( IF('اسفند 402'!L37=1,"ص‌‌",""),IF('اسفند 402'!M37=1,"ص‌'",""),IF('اسفند 402'!L38=1,"ع‌",""),IF('اسفند 402'!M38=1,"ع‌",""),IF('اسفند 402'!L39=1,"ش‌",""),IF('اسفند 402'!M39=1,"ش'‌",""), IF('اسفند 402'!L37="*","",""), IF('اسفند 402'!L37="@","*",""))</f>
        <v/>
      </c>
      <c r="M33" s="92"/>
      <c r="N33" s="92" t="str">
        <f>CONCATENATE( IF('اسفند 402'!N37=1,"ص‌‌",""),IF('اسفند 402'!O37=1,"ص‌'",""),IF('اسفند 402'!N38=1,"ع‌",""),IF('اسفند 402'!O38=1,"ع‌",""),IF('اسفند 402'!N39=1,"ش‌",""),IF('اسفند 402'!O39=1,"ش'‌",""), IF('اسفند 402'!N37="*","",""), IF('اسفند 402'!N37="@","*",""))</f>
        <v>ص‌‌ش‌</v>
      </c>
      <c r="O33" s="92"/>
      <c r="P33" s="92" t="str">
        <f>CONCATENATE( IF('اسفند 402'!P37=1,"ص‌‌",""),IF('اسفند 402'!Q37=1,"ص‌'",""),IF('اسفند 402'!P38=1,"ع‌",""),IF('اسفند 402'!Q38=1,"ع‌",""),IF('اسفند 402'!P39=1,"ش‌",""),IF('اسفند 402'!Q39=1,"ش'‌",""), IF('اسفند 402'!P37="*","",""), IF('اسفند 402'!P37="@","*",""))</f>
        <v/>
      </c>
      <c r="Q33" s="92"/>
      <c r="R33" s="92" t="str">
        <f>CONCATENATE( IF('اسفند 402'!R37=1,"ص‌‌",""),IF('اسفند 402'!S37=1,"ص‌'",""),IF('اسفند 402'!R38=1,"ع‌",""),IF('اسفند 402'!S38=1,"ع‌",""),IF('اسفند 402'!R39=1,"ش‌",""),IF('اسفند 402'!S39=1,"ش'‌",""), IF('اسفند 402'!R37="*","",""), IF('اسفند 402'!R37="@","*",""))</f>
        <v/>
      </c>
      <c r="S33" s="92"/>
      <c r="T33" s="92" t="str">
        <f>CONCATENATE( IF('اسفند 402'!T37=1,"ص‌‌",""),IF('اسفند 402'!U37=1,"ص‌'",""),IF('اسفند 402'!T38=1,"ع‌",""),IF('اسفند 402'!U38=1,"ع‌",""),IF('اسفند 402'!T39=1,"ش‌",""),IF('اسفند 402'!U39=1,"ش'‌",""), IF('اسفند 402'!T37="*","",""), IF('اسفند 402'!T37="@","*",""))</f>
        <v/>
      </c>
      <c r="U33" s="92"/>
      <c r="V33" s="92" t="str">
        <f>CONCATENATE( IF('اسفند 402'!V37=1,"ص‌‌",""),IF('اسفند 402'!W37=1,"ص‌'",""),IF('اسفند 402'!V38=1,"ع‌",""),IF('اسفند 402'!W38=1,"ع‌",""),IF('اسفند 402'!V39=1,"ش‌",""),IF('اسفند 402'!W39=1,"ش'‌",""), IF('اسفند 402'!V37="*","",""), IF('اسفند 402'!V37="@","*",""))</f>
        <v/>
      </c>
      <c r="W33" s="92"/>
      <c r="X33" s="92" t="str">
        <f>CONCATENATE( IF('اسفند 402'!X37=1,"ص‌‌",""),IF('اسفند 402'!Y37=1,"ص‌'",""),IF('اسفند 402'!X38=1,"ع‌",""),IF('اسفند 402'!Y38=1,"ع‌",""),IF('اسفند 402'!X39=1,"ش‌",""),IF('اسفند 402'!Y39=1,"ش'‌",""), IF('اسفند 402'!X37="*","",""), IF('اسفند 402'!X37="@","*",""))</f>
        <v/>
      </c>
      <c r="Y33" s="92"/>
      <c r="Z33" s="92" t="str">
        <f>CONCATENATE( IF('اسفند 402'!Z37=1,"ص‌‌",""),IF('اسفند 402'!AA37=1,"ص‌'",""),IF('اسفند 402'!Z38=1,"ع‌",""),IF('اسفند 402'!AA38=1,"ع‌",""),IF('اسفند 402'!Z39=1,"ش‌",""),IF('اسفند 402'!AA39=1,"ش'‌",""), IF('اسفند 402'!Z37="*","",""), IF('اسفند 402'!Z37="@","*",""))</f>
        <v/>
      </c>
      <c r="AA33" s="92"/>
      <c r="AB33" s="92" t="str">
        <f>CONCATENATE( IF('اسفند 402'!AB37=1,"ص‌‌",""),IF('اسفند 402'!AC37=1,"ص‌'",""),IF('اسفند 402'!AB38=1,"ع‌",""),IF('اسفند 402'!AC38=1,"ع‌",""),IF('اسفند 402'!AB39=1,"ش‌",""),IF('اسفند 402'!AC39=1,"ش'‌",""), IF('اسفند 402'!AB37="*","",""), IF('اسفند 402'!AB37="@","*",""))</f>
        <v/>
      </c>
      <c r="AC33" s="92"/>
      <c r="AD33" s="92" t="str">
        <f>CONCATENATE( IF('اسفند 402'!AD37=1,"ص‌‌",""),IF('اسفند 402'!AE37=1,"ص‌'",""),IF('اسفند 402'!AD38=1,"ع‌",""),IF('اسفند 402'!AE38=1,"ع‌",""),IF('اسفند 402'!AD39=1,"ش‌",""),IF('اسفند 402'!AE39=1,"ش'‌",""), IF('اسفند 402'!AD37="*","",""), IF('اسفند 402'!AD37="@","*",""))</f>
        <v/>
      </c>
      <c r="AE33" s="92"/>
      <c r="AF33" s="92" t="str">
        <f>CONCATENATE( IF('اسفند 402'!AF37=1,"ص‌‌",""),IF('اسفند 402'!AG37=1,"ص‌'",""),IF('اسفند 402'!AF38=1,"ع‌",""),IF('اسفند 402'!AG38=1,"ع‌",""),IF('اسفند 402'!AF39=1,"ش‌",""),IF('اسفند 402'!AG39=1,"ش'‌",""), IF('اسفند 402'!AF37="*","",""), IF('اسفند 402'!AF37="@","*",""))</f>
        <v>ش‌</v>
      </c>
      <c r="AG33" s="92"/>
      <c r="AH33" s="92" t="str">
        <f>CONCATENATE( IF('اسفند 402'!AH37=1,"ص‌‌",""),IF('اسفند 402'!AI37=1,"ص‌'",""),IF('اسفند 402'!AH38=1,"ع‌",""),IF('اسفند 402'!AI38=1,"ع‌",""),IF('اسفند 402'!AH39=1,"ش‌",""),IF('اسفند 402'!AI39=1,"ش'‌",""), IF('اسفند 402'!AH37="*","",""), IF('اسفند 402'!AH37="@","*",""))</f>
        <v/>
      </c>
      <c r="AI33" s="92"/>
      <c r="AJ33" s="92" t="str">
        <f>CONCATENATE( IF('اسفند 402'!AJ37=1,"ص‌‌",""),IF('اسفند 402'!AK37=1,"ص‌'",""),IF('اسفند 402'!AJ38=1,"ع‌",""),IF('اسفند 402'!AK38=1,"ع‌",""),IF('اسفند 402'!AJ39=1,"ش‌",""),IF('اسفند 402'!AK39=1,"ش'‌",""), IF('اسفند 402'!AJ37="*","",""), IF('اسفند 402'!AJ37="@","*",""))</f>
        <v/>
      </c>
      <c r="AK33" s="92"/>
      <c r="AL33" s="93" t="str">
        <f>CONCATENATE( IF('اسفند 402'!AL37=1,"ص‌‌",""),IF('اسفند 402'!AM37=1,"ص‌'",""),IF('اسفند 402'!AL38=1,"ع‌",""),IF('اسفند 402'!AM38=1,"ع‌",""),IF('اسفند 402'!AL39=1,"ش‌",""),IF('اسفند 402'!AM39=1,"ش'‌",""), IF('اسفند 402'!AL37="*","",""), IF('اسفند 402'!AL37="@","*",""))</f>
        <v>ص‌‌</v>
      </c>
      <c r="AM33" s="93"/>
      <c r="AN33" s="92" t="str">
        <f>CONCATENATE( IF('اسفند 402'!AN37=1,"ص‌‌",""),IF('اسفند 402'!AO37=1,"ص‌'",""),IF('اسفند 402'!AN38=1,"ع‌",""),IF('اسفند 402'!AO38=1,"ع‌",""),IF('اسفند 402'!AN39=1,"ش‌",""),IF('اسفند 402'!AO39=1,"ش'‌",""), IF('اسفند 402'!AN37="*","",""), IF('اسفند 402'!AN37="@","*",""))</f>
        <v/>
      </c>
      <c r="AO33" s="92"/>
      <c r="AP33" s="92" t="str">
        <f>CONCATENATE( IF('اسفند 402'!AP37=1,"ص‌‌",""),IF('اسفند 402'!AQ37=1,"ص‌'",""),IF('اسفند 402'!AP38=1,"ع‌",""),IF('اسفند 402'!AQ38=1,"ع‌",""),IF('اسفند 402'!AP39=1,"ش‌",""),IF('اسفند 402'!AQ39=1,"ش'‌",""), IF('اسفند 402'!AP37="*","",""), IF('اسفند 402'!AP37="@","*",""))</f>
        <v/>
      </c>
      <c r="AQ33" s="92"/>
      <c r="AR33" s="92" t="str">
        <f>CONCATENATE( IF('اسفند 402'!AR37=1,"ص‌‌",""),IF('اسفند 402'!AS37=1,"ص‌'",""),IF('اسفند 402'!AR38=1,"ع‌",""),IF('اسفند 402'!AS38=1,"ع‌",""),IF('اسفند 402'!AR39=1,"ش‌",""),IF('اسفند 402'!AS39=1,"ش'‌",""), IF('اسفند 402'!AR37="*","",""), IF('اسفند 402'!AR37="@","*",""))</f>
        <v/>
      </c>
      <c r="AS33" s="92"/>
      <c r="AT33" s="92" t="str">
        <f>CONCATENATE( IF('اسفند 402'!AT37=1,"ص‌‌",""),IF('اسفند 402'!AU37=1,"ص‌'",""),IF('اسفند 402'!AT38=1,"ع‌",""),IF('اسفند 402'!AU38=1,"ع‌",""),IF('اسفند 402'!AT39=1,"ش‌",""),IF('اسفند 402'!AU39=1,"ش'‌",""), IF('اسفند 402'!AT37="*","",""), IF('اسفند 402'!AT37="@","*",""))</f>
        <v>ص‌‌ع‌</v>
      </c>
      <c r="AU33" s="92"/>
      <c r="AV33" s="93" t="str">
        <f>CONCATENATE( IF('اسفند 402'!AV37=1,"ص‌‌",""),IF('اسفند 402'!AW37=1,"ص‌'",""),IF('اسفند 402'!AV38=1,"ع‌",""),IF('اسفند 402'!AW38=1,"ع‌",""),IF('اسفند 402'!AV39=1,"ش‌",""),IF('اسفند 402'!AW39=1,"ش'‌",""), IF('اسفند 402'!AV37="*","",""), IF('اسفند 402'!AV37="@","*",""))</f>
        <v>ص‌‌</v>
      </c>
      <c r="AW33" s="93"/>
      <c r="AX33" s="93" t="str">
        <f>CONCATENATE( IF('اسفند 402'!AX37=1,"ص‌‌",""),IF('اسفند 402'!AY37=1,"ص‌'",""),IF('اسفند 402'!AX38=1,"ع‌",""),IF('اسفند 402'!AY38=1,"ع‌",""),IF('اسفند 402'!AX39=1,"ش‌",""),IF('اسفند 402'!AY39=1,"ش'‌",""), IF('اسفند 402'!AX37="*","",""), IF('اسفند 402'!AX37="@","*",""))</f>
        <v>ص‌‌ش‌</v>
      </c>
      <c r="AY33" s="93"/>
      <c r="AZ33" s="93" t="str">
        <f>CONCATENATE( IF('اسفند 402'!AZ37=1,"ص‌‌",""),IF('اسفند 402'!BA37=1,"ص‌'",""),IF('اسفند 402'!AZ38=1,"ع‌",""),IF('اسفند 402'!BA38=1,"ع‌",""),IF('اسفند 402'!AZ39=1,"ش‌",""),IF('اسفند 402'!BA39=1,"ش'‌",""), IF('اسفند 402'!AZ37="*","",""), IF('اسفند 402'!AZ37="@","*",""))</f>
        <v/>
      </c>
      <c r="BA33" s="93"/>
      <c r="BB33" s="92" t="str">
        <f>CONCATENATE( IF('اسفند 402'!BB37=1,"ص‌‌",""),IF('اسفند 402'!BC37=1,"ص‌'",""),IF('اسفند 402'!BB38=1,"ع‌",""),IF('اسفند 402'!BC38=1,"ع‌",""),IF('اسفند 402'!BB39=1,"ش‌",""),IF('اسفند 402'!BC39=1,"ش'‌",""), IF('اسفند 402'!BB37="*","",""), IF('اسفند 402'!BB37="@","*",""))</f>
        <v>*</v>
      </c>
      <c r="BC33" s="92"/>
      <c r="BD33" s="92" t="str">
        <f>CONCATENATE( IF('اسفند 402'!BD37=1,"ص‌‌",""),IF('اسفند 402'!BE37=1,"ص‌'",""),IF('اسفند 402'!BD38=1,"ع‌",""),IF('اسفند 402'!BE38=1,"ع‌",""),IF('اسفند 402'!BD39=1,"ش‌",""),IF('اسفند 402'!BE39=1,"ش'‌",""), IF('اسفند 402'!BD37="*","",""), IF('اسفند 402'!BD37="@","*",""))</f>
        <v>ع‌</v>
      </c>
      <c r="BE33" s="92"/>
      <c r="BF33" s="92" t="str">
        <f>CONCATENATE( IF('اسفند 402'!BF37=1,"ص‌‌",""),IF('اسفند 402'!BG37=1,"ص‌'",""),IF('اسفند 402'!BF38=1,"ع‌",""),IF('اسفند 402'!BG38=1,"ع‌",""),IF('اسفند 402'!BF39=1,"ش‌",""),IF('اسفند 402'!BG39=1,"ش'‌",""), IF('اسفند 402'!BF37="*","",""), IF('اسفند 402'!BF37="@","*",""))</f>
        <v/>
      </c>
      <c r="BG33" s="92"/>
      <c r="BH33" s="92" t="str">
        <f>CONCATENATE( IF('اسفند 402'!BH37=1,"ص‌‌",""),IF('اسفند 402'!BI37=1,"ص‌'",""),IF('اسفند 402'!BH38=1,"ع‌",""),IF('اسفند 402'!BI38=1,"ع‌",""),IF('اسفند 402'!BH39=1,"ش‌",""),IF('اسفند 402'!BI39=1,"ش'‌",""), IF('اسفند 402'!BH37="*","",""), IF('اسفند 402'!BH37="@","*",""))</f>
        <v>ص‌‌ش‌</v>
      </c>
      <c r="BI33" s="92"/>
      <c r="BJ33" s="92" t="str">
        <f>CONCATENATE( IF('اسفند 402'!BJ37=1,"ص‌‌",""),IF('اسفند 402'!BK37=1,"ص‌'",""),IF('اسفند 402'!BJ38=1,"ع‌",""),IF('اسفند 402'!BK38=1,"ع‌",""),IF('اسفند 402'!BJ39=1,"ش‌",""),IF('اسفند 402'!BK39=1,"ش'‌",""), IF('اسفند 402'!BJ37="*","",""), IF('اسفند 402'!BJ37="@","*",""))</f>
        <v/>
      </c>
      <c r="BK33" s="92"/>
      <c r="BL33" s="92" t="str">
        <f>CONCATENATE( IF('اسفند 402'!BL37=1,"ص‌‌",""),IF('اسفند 402'!BM37=1,"ص‌'",""),IF('اسفند 402'!BL38=1,"ع‌",""),IF('اسفند 402'!BM38=1,"ع‌",""),IF('اسفند 402'!BL39=1,"ش‌",""),IF('اسفند 402'!BM39=1,"ش'‌",""), IF('اسفند 402'!BL37="*","",""), IF('اسفند 402'!BL37="@","*",""))</f>
        <v/>
      </c>
      <c r="BM33" s="92"/>
      <c r="BN33" s="93" t="str">
        <f>CONCATENATE( IF('اسفند 402'!BN37=1,"ص‌‌",""),IF('اسفند 402'!BO37=1,"ص‌'",""),IF('اسفند 402'!BN38=1,"ع‌",""),IF('اسفند 402'!BO38=1,"ع‌",""),IF('اسفند 402'!BN39=1,"ش‌",""),IF('اسفند 402'!BO39=1,"ش'‌",""), IF('اسفند 402'!BN37="*","",""), IF('اسفند 402'!BN37="@","*",""))</f>
        <v>ص‌‌ع‌</v>
      </c>
      <c r="BO33" s="93"/>
      <c r="BP33" s="83">
        <f>'اسفند 402'!C38</f>
        <v>24</v>
      </c>
    </row>
    <row r="34" spans="1:68" s="33" customFormat="1" ht="6" customHeight="1" x14ac:dyDescent="0.25">
      <c r="A34" s="88"/>
      <c r="B34" s="83"/>
      <c r="C34" s="83"/>
      <c r="D34" s="112"/>
      <c r="E34" s="83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3"/>
      <c r="AM34" s="93"/>
      <c r="AN34" s="92"/>
      <c r="AO34" s="92"/>
      <c r="AP34" s="92"/>
      <c r="AQ34" s="92"/>
      <c r="AR34" s="92"/>
      <c r="AS34" s="92"/>
      <c r="AT34" s="92"/>
      <c r="AU34" s="92"/>
      <c r="AV34" s="93"/>
      <c r="AW34" s="93"/>
      <c r="AX34" s="93"/>
      <c r="AY34" s="93"/>
      <c r="AZ34" s="93"/>
      <c r="BA34" s="93"/>
      <c r="BB34" s="92"/>
      <c r="BC34" s="92"/>
      <c r="BD34" s="92"/>
      <c r="BE34" s="92"/>
      <c r="BF34" s="92"/>
      <c r="BG34" s="92"/>
      <c r="BH34" s="92"/>
      <c r="BI34" s="92"/>
      <c r="BJ34" s="92"/>
      <c r="BK34" s="92"/>
      <c r="BL34" s="92"/>
      <c r="BM34" s="92"/>
      <c r="BN34" s="93"/>
      <c r="BO34" s="93"/>
      <c r="BP34" s="83"/>
    </row>
    <row r="35" spans="1:68" s="33" customFormat="1" ht="6" customHeight="1" x14ac:dyDescent="0.25">
      <c r="A35" s="88"/>
      <c r="B35" s="83"/>
      <c r="C35" s="83"/>
      <c r="D35" s="112"/>
      <c r="E35" s="83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3"/>
      <c r="AM35" s="93"/>
      <c r="AN35" s="92"/>
      <c r="AO35" s="92"/>
      <c r="AP35" s="92"/>
      <c r="AQ35" s="92"/>
      <c r="AR35" s="92"/>
      <c r="AS35" s="92"/>
      <c r="AT35" s="92"/>
      <c r="AU35" s="92"/>
      <c r="AV35" s="93"/>
      <c r="AW35" s="93"/>
      <c r="AX35" s="93"/>
      <c r="AY35" s="93"/>
      <c r="AZ35" s="93"/>
      <c r="BA35" s="93"/>
      <c r="BB35" s="92"/>
      <c r="BC35" s="92"/>
      <c r="BD35" s="92"/>
      <c r="BE35" s="92"/>
      <c r="BF35" s="92"/>
      <c r="BG35" s="92"/>
      <c r="BH35" s="92"/>
      <c r="BI35" s="92"/>
      <c r="BJ35" s="92"/>
      <c r="BK35" s="92"/>
      <c r="BL35" s="92"/>
      <c r="BM35" s="92"/>
      <c r="BN35" s="93"/>
      <c r="BO35" s="93"/>
      <c r="BP35" s="83"/>
    </row>
    <row r="36" spans="1:68" s="33" customFormat="1" ht="6" customHeight="1" x14ac:dyDescent="0.25">
      <c r="A36" s="89"/>
      <c r="B36" s="85">
        <v>12</v>
      </c>
      <c r="C36" s="83" t="str">
        <f>'اسفند 402'!B40</f>
        <v>x11</v>
      </c>
      <c r="D36" s="113" t="s">
        <v>30</v>
      </c>
      <c r="E36" s="85">
        <v>7.5</v>
      </c>
      <c r="F36" s="70" t="str">
        <f>CONCATENATE( IF('اسفند 402'!F40=1,"ص‌‌",""),IF('اسفند 402'!G40=1,"ص‌'",""),IF('اسفند 402'!F41=1,"ع‌",""),IF('اسفند 402'!G41=1,"ع‌",""),IF('اسفند 402'!F42=1,"ش‌",""),IF('اسفند 402'!G42=1,"ش'‌",""), IF('اسفند 402'!F40="*","",""), IF('اسفند 402'!F40="@","*",""))</f>
        <v/>
      </c>
      <c r="G36" s="71"/>
      <c r="H36" s="70" t="str">
        <f>CONCATENATE( IF('اسفند 402'!H40=1,"ص‌‌",""),IF('اسفند 402'!I40=1,"ص‌'",""),IF('اسفند 402'!H41=1,"ع‌",""),IF('اسفند 402'!I41=1,"ع‌",""),IF('اسفند 402'!H42=1,"ش‌",""),IF('اسفند 402'!I42=1,"ش'‌",""), IF('اسفند 402'!H40="*","",""), IF('اسفند 402'!H40="@","*",""))</f>
        <v/>
      </c>
      <c r="I36" s="71"/>
      <c r="J36" s="70" t="str">
        <f>CONCATENATE( IF('اسفند 402'!J40=1,"ص‌‌",""),IF('اسفند 402'!K40=1,"ص‌'",""),IF('اسفند 402'!J41=1,"ع‌",""),IF('اسفند 402'!K41=1,"ع‌",""),IF('اسفند 402'!J42=1,"ش‌",""),IF('اسفند 402'!K42=1,"ش'‌",""), IF('اسفند 402'!J40="*","",""), IF('اسفند 402'!J40="@","*",""))</f>
        <v/>
      </c>
      <c r="K36" s="71"/>
      <c r="L36" s="70" t="str">
        <f>CONCATENATE( IF('اسفند 402'!L40=1,"ص‌‌",""),IF('اسفند 402'!M40=1,"ص‌'",""),IF('اسفند 402'!L41=1,"ع‌",""),IF('اسفند 402'!M41=1,"ع‌",""),IF('اسفند 402'!L42=1,"ش‌",""),IF('اسفند 402'!M42=1,"ش'‌",""), IF('اسفند 402'!L40="*","",""), IF('اسفند 402'!L40="@","*",""))</f>
        <v/>
      </c>
      <c r="M36" s="71"/>
      <c r="N36" s="70" t="str">
        <f>CONCATENATE( IF('اسفند 402'!N40=1,"ص‌‌",""),IF('اسفند 402'!O40=1,"ص‌'",""),IF('اسفند 402'!N41=1,"ع‌",""),IF('اسفند 402'!O41=1,"ع‌",""),IF('اسفند 402'!N42=1,"ش‌",""),IF('اسفند 402'!O42=1,"ش'‌",""), IF('اسفند 402'!N40="*","",""), IF('اسفند 402'!N40="@","*",""))</f>
        <v/>
      </c>
      <c r="O36" s="71"/>
      <c r="P36" s="70" t="str">
        <f>CONCATENATE( IF('اسفند 402'!P40=1,"ص‌‌",""),IF('اسفند 402'!Q40=1,"ص‌'",""),IF('اسفند 402'!P41=1,"ع‌",""),IF('اسفند 402'!Q41=1,"ع‌",""),IF('اسفند 402'!P42=1,"ش‌",""),IF('اسفند 402'!Q42=1,"ش'‌",""), IF('اسفند 402'!P40="*","",""), IF('اسفند 402'!P40="@","*",""))</f>
        <v/>
      </c>
      <c r="Q36" s="71"/>
      <c r="R36" s="70" t="str">
        <f>CONCATENATE( IF('اسفند 402'!R40=1,"ص‌‌",""),IF('اسفند 402'!S40=1,"ص‌'",""),IF('اسفند 402'!R41=1,"ع‌",""),IF('اسفند 402'!S41=1,"ع‌",""),IF('اسفند 402'!R42=1,"ش‌",""),IF('اسفند 402'!S42=1,"ش'‌",""), IF('اسفند 402'!R40="*","",""), IF('اسفند 402'!R40="@","*",""))</f>
        <v/>
      </c>
      <c r="S36" s="71"/>
      <c r="T36" s="70" t="str">
        <f>CONCATENATE( IF('اسفند 402'!T40=1,"ص‌‌",""),IF('اسفند 402'!U40=1,"ص‌'",""),IF('اسفند 402'!T41=1,"ع‌",""),IF('اسفند 402'!U41=1,"ع‌",""),IF('اسفند 402'!T42=1,"ش‌",""),IF('اسفند 402'!U42=1,"ش'‌",""), IF('اسفند 402'!T40="*","",""), IF('اسفند 402'!T40="@","*",""))</f>
        <v/>
      </c>
      <c r="U36" s="71"/>
      <c r="V36" s="70" t="str">
        <f>CONCATENATE( IF('اسفند 402'!V40=1,"ص‌‌",""),IF('اسفند 402'!W40=1,"ص‌'",""),IF('اسفند 402'!V41=1,"ع‌",""),IF('اسفند 402'!W41=1,"ع‌",""),IF('اسفند 402'!V42=1,"ش‌",""),IF('اسفند 402'!W42=1,"ش'‌",""), IF('اسفند 402'!V40="*","",""), IF('اسفند 402'!V40="@","*",""))</f>
        <v/>
      </c>
      <c r="W36" s="71"/>
      <c r="X36" s="70" t="str">
        <f>CONCATENATE( IF('اسفند 402'!X40=1,"ص‌‌",""),IF('اسفند 402'!Y40=1,"ص‌'",""),IF('اسفند 402'!X41=1,"ع‌",""),IF('اسفند 402'!Y41=1,"ع‌",""),IF('اسفند 402'!X42=1,"ش‌",""),IF('اسفند 402'!Y42=1,"ش'‌",""), IF('اسفند 402'!X40="*","",""), IF('اسفند 402'!X40="@","*",""))</f>
        <v/>
      </c>
      <c r="Y36" s="71"/>
      <c r="Z36" s="70" t="str">
        <f>CONCATENATE( IF('اسفند 402'!Z40=1,"ص‌‌",""),IF('اسفند 402'!AA40=1,"ص‌'",""),IF('اسفند 402'!Z41=1,"ع‌",""),IF('اسفند 402'!AA41=1,"ع‌",""),IF('اسفند 402'!Z42=1,"ش‌",""),IF('اسفند 402'!AA42=1,"ش'‌",""), IF('اسفند 402'!Z40="*","",""), IF('اسفند 402'!Z40="@","*",""))</f>
        <v/>
      </c>
      <c r="AA36" s="71"/>
      <c r="AB36" s="70" t="str">
        <f>CONCATENATE( IF('اسفند 402'!AB40=1,"ص‌‌",""),IF('اسفند 402'!AC40=1,"ص‌'",""),IF('اسفند 402'!AB41=1,"ع‌",""),IF('اسفند 402'!AC41=1,"ع‌",""),IF('اسفند 402'!AB42=1,"ش‌",""),IF('اسفند 402'!AC42=1,"ش'‌",""), IF('اسفند 402'!AB40="*","",""), IF('اسفند 402'!AB40="@","*",""))</f>
        <v/>
      </c>
      <c r="AC36" s="71"/>
      <c r="AD36" s="70" t="str">
        <f>CONCATENATE( IF('اسفند 402'!AD40=1,"ص‌‌",""),IF('اسفند 402'!AE40=1,"ص‌'",""),IF('اسفند 402'!AD41=1,"ع‌",""),IF('اسفند 402'!AE41=1,"ع‌",""),IF('اسفند 402'!AD42=1,"ش‌",""),IF('اسفند 402'!AE42=1,"ش'‌",""), IF('اسفند 402'!AD40="*","",""), IF('اسفند 402'!AD40="@","*",""))</f>
        <v/>
      </c>
      <c r="AE36" s="71"/>
      <c r="AF36" s="70" t="str">
        <f>CONCATENATE( IF('اسفند 402'!AF40=1,"ص‌‌",""),IF('اسفند 402'!AG40=1,"ص‌'",""),IF('اسفند 402'!AF41=1,"ع‌",""),IF('اسفند 402'!AG41=1,"ع‌",""),IF('اسفند 402'!AF42=1,"ش‌",""),IF('اسفند 402'!AG42=1,"ش'‌",""), IF('اسفند 402'!AF40="*","",""), IF('اسفند 402'!AF40="@","*",""))</f>
        <v/>
      </c>
      <c r="AG36" s="71"/>
      <c r="AH36" s="70" t="str">
        <f>CONCATENATE( IF('اسفند 402'!AH40=1,"ص‌‌",""),IF('اسفند 402'!AI40=1,"ص‌'",""),IF('اسفند 402'!AH41=1,"ع‌",""),IF('اسفند 402'!AI41=1,"ع‌",""),IF('اسفند 402'!AH42=1,"ش‌",""),IF('اسفند 402'!AI42=1,"ش'‌",""), IF('اسفند 402'!AH40="*","",""), IF('اسفند 402'!AH40="@","*",""))</f>
        <v/>
      </c>
      <c r="AI36" s="71"/>
      <c r="AJ36" s="70" t="str">
        <f>CONCATENATE( IF('اسفند 402'!AJ40=1,"ص‌‌",""),IF('اسفند 402'!AK40=1,"ص‌'",""),IF('اسفند 402'!AJ41=1,"ع‌",""),IF('اسفند 402'!AK41=1,"ع‌",""),IF('اسفند 402'!AJ42=1,"ش‌",""),IF('اسفند 402'!AK42=1,"ش'‌",""), IF('اسفند 402'!AJ40="*","",""), IF('اسفند 402'!AJ40="@","*",""))</f>
        <v/>
      </c>
      <c r="AK36" s="71"/>
      <c r="AL36" s="76" t="str">
        <f>CONCATENATE( IF('اسفند 402'!AL40=1,"ص‌‌",""),IF('اسفند 402'!AM40=1,"ص‌'",""),IF('اسفند 402'!AL41=1,"ع‌",""),IF('اسفند 402'!AM41=1,"ع‌",""),IF('اسفند 402'!AL42=1,"ش‌",""),IF('اسفند 402'!AM42=1,"ش'‌",""), IF('اسفند 402'!AL40="*","",""), IF('اسفند 402'!AL40="@","*",""))</f>
        <v/>
      </c>
      <c r="AM36" s="77"/>
      <c r="AN36" s="70" t="str">
        <f>CONCATENATE( IF('اسفند 402'!AN40=1,"ص‌‌",""),IF('اسفند 402'!AO40=1,"ص‌'",""),IF('اسفند 402'!AN41=1,"ع‌",""),IF('اسفند 402'!AO41=1,"ع‌",""),IF('اسفند 402'!AN42=1,"ش‌",""),IF('اسفند 402'!AO42=1,"ش'‌",""), IF('اسفند 402'!AN40="*","",""), IF('اسفند 402'!AN40="@","*",""))</f>
        <v/>
      </c>
      <c r="AO36" s="71"/>
      <c r="AP36" s="70" t="str">
        <f>CONCATENATE( IF('اسفند 402'!AP40=1,"ص‌‌",""),IF('اسفند 402'!AQ40=1,"ص‌'",""),IF('اسفند 402'!AP41=1,"ع‌",""),IF('اسفند 402'!AQ41=1,"ع‌",""),IF('اسفند 402'!AP42=1,"ش‌",""),IF('اسفند 402'!AQ42=1,"ش'‌",""), IF('اسفند 402'!AP40="*","",""), IF('اسفند 402'!AP40="@","*",""))</f>
        <v/>
      </c>
      <c r="AQ36" s="71"/>
      <c r="AR36" s="70" t="str">
        <f>CONCATENATE( IF('اسفند 402'!AR40=1,"ص‌‌",""),IF('اسفند 402'!AS40=1,"ص‌'",""),IF('اسفند 402'!AR41=1,"ع‌",""),IF('اسفند 402'!AS41=1,"ع‌",""),IF('اسفند 402'!AR42=1,"ش‌",""),IF('اسفند 402'!AS42=1,"ش'‌",""), IF('اسفند 402'!AR40="*","",""), IF('اسفند 402'!AR40="@","*",""))</f>
        <v/>
      </c>
      <c r="AS36" s="71"/>
      <c r="AT36" s="70" t="str">
        <f>CONCATENATE( IF('اسفند 402'!AT40=1,"ص‌‌",""),IF('اسفند 402'!AU40=1,"ص‌'",""),IF('اسفند 402'!AT41=1,"ع‌",""),IF('اسفند 402'!AU41=1,"ع‌",""),IF('اسفند 402'!AT42=1,"ش‌",""),IF('اسفند 402'!AU42=1,"ش'‌",""), IF('اسفند 402'!AT40="*","",""), IF('اسفند 402'!AT40="@","*",""))</f>
        <v/>
      </c>
      <c r="AU36" s="71"/>
      <c r="AV36" s="76" t="str">
        <f>CONCATENATE( IF('اسفند 402'!AV40=1,"ص‌‌",""),IF('اسفند 402'!AW40=1,"ص‌'",""),IF('اسفند 402'!AV41=1,"ع‌",""),IF('اسفند 402'!AW41=1,"ع‌",""),IF('اسفند 402'!AV42=1,"ش‌",""),IF('اسفند 402'!AW42=1,"ش'‌",""), IF('اسفند 402'!AV40="*","",""), IF('اسفند 402'!AV40="@","*",""))</f>
        <v/>
      </c>
      <c r="AW36" s="77"/>
      <c r="AX36" s="76" t="str">
        <f>CONCATENATE( IF('اسفند 402'!AX40=1,"ص‌‌",""),IF('اسفند 402'!AY40=1,"ص‌'",""),IF('اسفند 402'!AX41=1,"ع‌",""),IF('اسفند 402'!AY41=1,"ع‌",""),IF('اسفند 402'!AX42=1,"ش‌",""),IF('اسفند 402'!AY42=1,"ش'‌",""), IF('اسفند 402'!AX40="*","",""), IF('اسفند 402'!AX40="@","*",""))</f>
        <v/>
      </c>
      <c r="AY36" s="77"/>
      <c r="AZ36" s="76" t="str">
        <f>CONCATENATE( IF('اسفند 402'!AZ40=1,"ص‌‌",""),IF('اسفند 402'!BA40=1,"ص‌'",""),IF('اسفند 402'!AZ41=1,"ع‌",""),IF('اسفند 402'!BA41=1,"ع‌",""),IF('اسفند 402'!AZ42=1,"ش‌",""),IF('اسفند 402'!BA42=1,"ش'‌",""), IF('اسفند 402'!AZ40="*","",""), IF('اسفند 402'!AZ40="@","*",""))</f>
        <v/>
      </c>
      <c r="BA36" s="77"/>
      <c r="BB36" s="70" t="str">
        <f>CONCATENATE( IF('اسفند 402'!BB40=1,"ص‌‌",""),IF('اسفند 402'!BC40=1,"ص‌'",""),IF('اسفند 402'!BB41=1,"ع‌",""),IF('اسفند 402'!BC41=1,"ع‌",""),IF('اسفند 402'!BB42=1,"ش‌",""),IF('اسفند 402'!BC42=1,"ش'‌",""), IF('اسفند 402'!BB40="*","",""), IF('اسفند 402'!BB40="@","*",""))</f>
        <v/>
      </c>
      <c r="BC36" s="71"/>
      <c r="BD36" s="70" t="str">
        <f>CONCATENATE( IF('اسفند 402'!BD40=1,"ص‌‌",""),IF('اسفند 402'!BE40=1,"ص‌'",""),IF('اسفند 402'!BD41=1,"ع‌",""),IF('اسفند 402'!BE41=1,"ع‌",""),IF('اسفند 402'!BD42=1,"ش‌",""),IF('اسفند 402'!BE42=1,"ش'‌",""), IF('اسفند 402'!BD40="*","",""), IF('اسفند 402'!BD40="@","*",""))</f>
        <v/>
      </c>
      <c r="BE36" s="71"/>
      <c r="BF36" s="70" t="str">
        <f>CONCATENATE( IF('اسفند 402'!BF40=1,"ص‌‌",""),IF('اسفند 402'!BG40=1,"ص‌'",""),IF('اسفند 402'!BF41=1,"ع‌",""),IF('اسفند 402'!BG41=1,"ع‌",""),IF('اسفند 402'!BF42=1,"ش‌",""),IF('اسفند 402'!BG42=1,"ش'‌",""), IF('اسفند 402'!BF40="*","",""), IF('اسفند 402'!BF40="@","*",""))</f>
        <v/>
      </c>
      <c r="BG36" s="71"/>
      <c r="BH36" s="70" t="str">
        <f>CONCATENATE( IF('اسفند 402'!BH40=1,"ص‌‌",""),IF('اسفند 402'!BI40=1,"ص‌'",""),IF('اسفند 402'!BH41=1,"ع‌",""),IF('اسفند 402'!BI41=1,"ع‌",""),IF('اسفند 402'!BH42=1,"ش‌",""),IF('اسفند 402'!BI42=1,"ش'‌",""), IF('اسفند 402'!BH40="*","",""), IF('اسفند 402'!BH40="@","*",""))</f>
        <v/>
      </c>
      <c r="BI36" s="71"/>
      <c r="BJ36" s="70" t="str">
        <f>CONCATENATE( IF('اسفند 402'!BJ40=1,"ص‌‌",""),IF('اسفند 402'!BK40=1,"ص‌'",""),IF('اسفند 402'!BJ41=1,"ع‌",""),IF('اسفند 402'!BK41=1,"ع‌",""),IF('اسفند 402'!BJ42=1,"ش‌",""),IF('اسفند 402'!BK42=1,"ش'‌",""), IF('اسفند 402'!BJ40="*","",""), IF('اسفند 402'!BJ40="@","*",""))</f>
        <v/>
      </c>
      <c r="BK36" s="71"/>
      <c r="BL36" s="70" t="str">
        <f>CONCATENATE( IF('اسفند 402'!BL40=1,"ص‌‌",""),IF('اسفند 402'!BM40=1,"ص‌'",""),IF('اسفند 402'!BL41=1,"ع‌",""),IF('اسفند 402'!BM41=1,"ع‌",""),IF('اسفند 402'!BL42=1,"ش‌",""),IF('اسفند 402'!BM42=1,"ش'‌",""), IF('اسفند 402'!BL40="*","",""), IF('اسفند 402'!BL40="@","*",""))</f>
        <v/>
      </c>
      <c r="BM36" s="71"/>
      <c r="BN36" s="76" t="str">
        <f>CONCATENATE( IF('اسفند 402'!BN40=1,"ص‌‌",""),IF('اسفند 402'!BO40=1,"ص‌'",""),IF('اسفند 402'!BN41=1,"ع‌",""),IF('اسفند 402'!BO41=1,"ع‌",""),IF('اسفند 402'!BN42=1,"ش‌",""),IF('اسفند 402'!BO42=1,"ش'‌",""), IF('اسفند 402'!BN40="*","",""), IF('اسفند 402'!BN40="@","*",""))</f>
        <v/>
      </c>
      <c r="BO36" s="77"/>
      <c r="BP36" s="85">
        <f>'اسفند 402'!C41</f>
        <v>0</v>
      </c>
    </row>
    <row r="37" spans="1:68" s="33" customFormat="1" ht="6" customHeight="1" x14ac:dyDescent="0.25">
      <c r="A37" s="89"/>
      <c r="B37" s="86"/>
      <c r="C37" s="83"/>
      <c r="D37" s="114"/>
      <c r="E37" s="86"/>
      <c r="F37" s="72"/>
      <c r="G37" s="73"/>
      <c r="H37" s="72"/>
      <c r="I37" s="73"/>
      <c r="J37" s="72"/>
      <c r="K37" s="73"/>
      <c r="L37" s="72"/>
      <c r="M37" s="73"/>
      <c r="N37" s="72"/>
      <c r="O37" s="73"/>
      <c r="P37" s="72"/>
      <c r="Q37" s="73"/>
      <c r="R37" s="72"/>
      <c r="S37" s="73"/>
      <c r="T37" s="72"/>
      <c r="U37" s="73"/>
      <c r="V37" s="72"/>
      <c r="W37" s="73"/>
      <c r="X37" s="72"/>
      <c r="Y37" s="73"/>
      <c r="Z37" s="72"/>
      <c r="AA37" s="73"/>
      <c r="AB37" s="72"/>
      <c r="AC37" s="73"/>
      <c r="AD37" s="72"/>
      <c r="AE37" s="73"/>
      <c r="AF37" s="72"/>
      <c r="AG37" s="73"/>
      <c r="AH37" s="72"/>
      <c r="AI37" s="73"/>
      <c r="AJ37" s="72"/>
      <c r="AK37" s="73"/>
      <c r="AL37" s="78"/>
      <c r="AM37" s="79"/>
      <c r="AN37" s="72"/>
      <c r="AO37" s="73"/>
      <c r="AP37" s="72"/>
      <c r="AQ37" s="73"/>
      <c r="AR37" s="72"/>
      <c r="AS37" s="73"/>
      <c r="AT37" s="72"/>
      <c r="AU37" s="73"/>
      <c r="AV37" s="78"/>
      <c r="AW37" s="79"/>
      <c r="AX37" s="78"/>
      <c r="AY37" s="79"/>
      <c r="AZ37" s="78"/>
      <c r="BA37" s="79"/>
      <c r="BB37" s="72"/>
      <c r="BC37" s="73"/>
      <c r="BD37" s="72"/>
      <c r="BE37" s="73"/>
      <c r="BF37" s="72"/>
      <c r="BG37" s="73"/>
      <c r="BH37" s="72"/>
      <c r="BI37" s="73"/>
      <c r="BJ37" s="72"/>
      <c r="BK37" s="73"/>
      <c r="BL37" s="72"/>
      <c r="BM37" s="73"/>
      <c r="BN37" s="78"/>
      <c r="BO37" s="79"/>
      <c r="BP37" s="86"/>
    </row>
    <row r="38" spans="1:68" s="33" customFormat="1" ht="6" customHeight="1" x14ac:dyDescent="0.25">
      <c r="A38" s="89"/>
      <c r="B38" s="87"/>
      <c r="C38" s="83"/>
      <c r="D38" s="115"/>
      <c r="E38" s="87"/>
      <c r="F38" s="74"/>
      <c r="G38" s="75"/>
      <c r="H38" s="74"/>
      <c r="I38" s="75"/>
      <c r="J38" s="74"/>
      <c r="K38" s="75"/>
      <c r="L38" s="74"/>
      <c r="M38" s="75"/>
      <c r="N38" s="74"/>
      <c r="O38" s="75"/>
      <c r="P38" s="74"/>
      <c r="Q38" s="75"/>
      <c r="R38" s="74"/>
      <c r="S38" s="75"/>
      <c r="T38" s="74"/>
      <c r="U38" s="75"/>
      <c r="V38" s="74"/>
      <c r="W38" s="75"/>
      <c r="X38" s="74"/>
      <c r="Y38" s="75"/>
      <c r="Z38" s="74"/>
      <c r="AA38" s="75"/>
      <c r="AB38" s="74"/>
      <c r="AC38" s="75"/>
      <c r="AD38" s="74"/>
      <c r="AE38" s="75"/>
      <c r="AF38" s="74"/>
      <c r="AG38" s="75"/>
      <c r="AH38" s="74"/>
      <c r="AI38" s="75"/>
      <c r="AJ38" s="74"/>
      <c r="AK38" s="75"/>
      <c r="AL38" s="80"/>
      <c r="AM38" s="81"/>
      <c r="AN38" s="74"/>
      <c r="AO38" s="75"/>
      <c r="AP38" s="74"/>
      <c r="AQ38" s="75"/>
      <c r="AR38" s="74"/>
      <c r="AS38" s="75"/>
      <c r="AT38" s="74"/>
      <c r="AU38" s="75"/>
      <c r="AV38" s="80"/>
      <c r="AW38" s="81"/>
      <c r="AX38" s="80"/>
      <c r="AY38" s="81"/>
      <c r="AZ38" s="80"/>
      <c r="BA38" s="81"/>
      <c r="BB38" s="74"/>
      <c r="BC38" s="75"/>
      <c r="BD38" s="74"/>
      <c r="BE38" s="75"/>
      <c r="BF38" s="74"/>
      <c r="BG38" s="75"/>
      <c r="BH38" s="74"/>
      <c r="BI38" s="75"/>
      <c r="BJ38" s="74"/>
      <c r="BK38" s="75"/>
      <c r="BL38" s="74"/>
      <c r="BM38" s="75"/>
      <c r="BN38" s="80"/>
      <c r="BO38" s="81"/>
      <c r="BP38" s="87"/>
    </row>
    <row r="39" spans="1:68" s="33" customFormat="1" ht="6" customHeight="1" x14ac:dyDescent="0.25">
      <c r="A39" s="88"/>
      <c r="B39" s="83">
        <v>13</v>
      </c>
      <c r="C39" s="83" t="str">
        <f>'اسفند 402'!B43</f>
        <v>x12</v>
      </c>
      <c r="D39" s="112" t="s">
        <v>30</v>
      </c>
      <c r="E39" s="83">
        <v>2</v>
      </c>
      <c r="F39" s="92" t="str">
        <f>CONCATENATE( IF('اسفند 402'!F43=1,"ص‌‌",""),IF('اسفند 402'!G43=1,"ص‌'",""),IF('اسفند 402'!F44=1,"ع‌",""),IF('اسفند 402'!G44=1,"ع‌",""),IF('اسفند 402'!F45=1,"ش‌",""),IF('اسفند 402'!G45=1,"ش'‌",""), IF('اسفند 402'!F43="*","",""), IF('اسفند 402'!F43="@","*",""))</f>
        <v/>
      </c>
      <c r="G39" s="92"/>
      <c r="H39" s="92" t="str">
        <f>CONCATENATE( IF('اسفند 402'!H43=1,"ص‌‌",""),IF('اسفند 402'!I43=1,"ص‌'",""),IF('اسفند 402'!H44=1,"ع‌",""),IF('اسفند 402'!I44=1,"ع‌",""),IF('اسفند 402'!H45=1,"ش‌",""),IF('اسفند 402'!I45=1,"ش'‌",""), IF('اسفند 402'!H43="*","",""), IF('اسفند 402'!H43="@","*",""))</f>
        <v>ع‌ش‌</v>
      </c>
      <c r="I39" s="92"/>
      <c r="J39" s="92" t="str">
        <f>CONCATENATE( IF('اسفند 402'!J43=1,"ص‌‌",""),IF('اسفند 402'!K43=1,"ص‌'",""),IF('اسفند 402'!J44=1,"ع‌",""),IF('اسفند 402'!K44=1,"ع‌",""),IF('اسفند 402'!J45=1,"ش‌",""),IF('اسفند 402'!K45=1,"ش'‌",""), IF('اسفند 402'!J43="*","",""), IF('اسفند 402'!J43="@","*",""))</f>
        <v/>
      </c>
      <c r="K39" s="92"/>
      <c r="L39" s="92" t="str">
        <f>CONCATENATE( IF('اسفند 402'!L43=1,"ص‌‌",""),IF('اسفند 402'!M43=1,"ص‌'",""),IF('اسفند 402'!L44=1,"ع‌",""),IF('اسفند 402'!M44=1,"ع‌",""),IF('اسفند 402'!L45=1,"ش‌",""),IF('اسفند 402'!M45=1,"ش'‌",""), IF('اسفند 402'!L43="*","",""), IF('اسفند 402'!L43="@","*",""))</f>
        <v>ص‌‌ع‌</v>
      </c>
      <c r="M39" s="92"/>
      <c r="N39" s="92" t="str">
        <f>CONCATENATE( IF('اسفند 402'!N43=1,"ص‌‌",""),IF('اسفند 402'!O43=1,"ص‌'",""),IF('اسفند 402'!N44=1,"ع‌",""),IF('اسفند 402'!O44=1,"ع‌",""),IF('اسفند 402'!N45=1,"ش‌",""),IF('اسفند 402'!O45=1,"ش'‌",""), IF('اسفند 402'!N43="*","",""), IF('اسفند 402'!N43="@","*",""))</f>
        <v>ص‌‌ع‌</v>
      </c>
      <c r="O39" s="92"/>
      <c r="P39" s="92" t="str">
        <f>CONCATENATE( IF('اسفند 402'!P43=1,"ص‌‌",""),IF('اسفند 402'!Q43=1,"ص‌'",""),IF('اسفند 402'!P44=1,"ع‌",""),IF('اسفند 402'!Q44=1,"ع‌",""),IF('اسفند 402'!P45=1,"ش‌",""),IF('اسفند 402'!Q45=1,"ش'‌",""), IF('اسفند 402'!P43="*","",""), IF('اسفند 402'!P43="@","*",""))</f>
        <v>ش‌</v>
      </c>
      <c r="Q39" s="92"/>
      <c r="R39" s="92" t="str">
        <f>CONCATENATE( IF('اسفند 402'!R43=1,"ص‌‌",""),IF('اسفند 402'!S43=1,"ص‌'",""),IF('اسفند 402'!R44=1,"ع‌",""),IF('اسفند 402'!S44=1,"ع‌",""),IF('اسفند 402'!R45=1,"ش‌",""),IF('اسفند 402'!S45=1,"ش'‌",""), IF('اسفند 402'!R43="*","",""), IF('اسفند 402'!R43="@","*",""))</f>
        <v/>
      </c>
      <c r="S39" s="92"/>
      <c r="T39" s="92" t="str">
        <f>CONCATENATE( IF('اسفند 402'!T43=1,"ص‌‌",""),IF('اسفند 402'!U43=1,"ص‌'",""),IF('اسفند 402'!T44=1,"ع‌",""),IF('اسفند 402'!U44=1,"ع‌",""),IF('اسفند 402'!T45=1,"ش‌",""),IF('اسفند 402'!U45=1,"ش'‌",""), IF('اسفند 402'!T43="*","",""), IF('اسفند 402'!T43="@","*",""))</f>
        <v/>
      </c>
      <c r="U39" s="92"/>
      <c r="V39" s="92" t="str">
        <f>CONCATENATE( IF('اسفند 402'!V43=1,"ص‌‌",""),IF('اسفند 402'!W43=1,"ص‌'",""),IF('اسفند 402'!V44=1,"ع‌",""),IF('اسفند 402'!W44=1,"ع‌",""),IF('اسفند 402'!V45=1,"ش‌",""),IF('اسفند 402'!W45=1,"ش'‌",""), IF('اسفند 402'!V43="*","",""), IF('اسفند 402'!V43="@","*",""))</f>
        <v/>
      </c>
      <c r="W39" s="92"/>
      <c r="X39" s="92" t="str">
        <f>CONCATENATE( IF('اسفند 402'!X43=1,"ص‌‌",""),IF('اسفند 402'!Y43=1,"ص‌'",""),IF('اسفند 402'!X44=1,"ع‌",""),IF('اسفند 402'!Y44=1,"ع‌",""),IF('اسفند 402'!X45=1,"ش‌",""),IF('اسفند 402'!Y45=1,"ش'‌",""), IF('اسفند 402'!X43="*","",""), IF('اسفند 402'!X43="@","*",""))</f>
        <v/>
      </c>
      <c r="Y39" s="92"/>
      <c r="Z39" s="92" t="str">
        <f>CONCATENATE( IF('اسفند 402'!Z43=1,"ص‌‌",""),IF('اسفند 402'!AA43=1,"ص‌'",""),IF('اسفند 402'!Z44=1,"ع‌",""),IF('اسفند 402'!AA44=1,"ع‌",""),IF('اسفند 402'!Z45=1,"ش‌",""),IF('اسفند 402'!AA45=1,"ش'‌",""), IF('اسفند 402'!Z43="*","",""), IF('اسفند 402'!Z43="@","*",""))</f>
        <v/>
      </c>
      <c r="AA39" s="92"/>
      <c r="AB39" s="92" t="str">
        <f>CONCATENATE( IF('اسفند 402'!AB43=1,"ص‌‌",""),IF('اسفند 402'!AC43=1,"ص‌'",""),IF('اسفند 402'!AB44=1,"ع‌",""),IF('اسفند 402'!AC44=1,"ع‌",""),IF('اسفند 402'!AB45=1,"ش‌",""),IF('اسفند 402'!AC45=1,"ش'‌",""), IF('اسفند 402'!AB43="*","",""), IF('اسفند 402'!AB43="@","*",""))</f>
        <v/>
      </c>
      <c r="AC39" s="92"/>
      <c r="AD39" s="92" t="str">
        <f>CONCATENATE( IF('اسفند 402'!AD43=1,"ص‌‌",""),IF('اسفند 402'!AE43=1,"ص‌'",""),IF('اسفند 402'!AD44=1,"ع‌",""),IF('اسفند 402'!AE44=1,"ع‌",""),IF('اسفند 402'!AD45=1,"ش‌",""),IF('اسفند 402'!AE45=1,"ش'‌",""), IF('اسفند 402'!AD43="*","",""), IF('اسفند 402'!AD43="@","*",""))</f>
        <v/>
      </c>
      <c r="AE39" s="92"/>
      <c r="AF39" s="92" t="str">
        <f>CONCATENATE( IF('اسفند 402'!AF43=1,"ص‌‌",""),IF('اسفند 402'!AG43=1,"ص‌'",""),IF('اسفند 402'!AF44=1,"ع‌",""),IF('اسفند 402'!AG44=1,"ع‌",""),IF('اسفند 402'!AF45=1,"ش‌",""),IF('اسفند 402'!AG45=1,"ش'‌",""), IF('اسفند 402'!AF43="*","",""), IF('اسفند 402'!AF43="@","*",""))</f>
        <v/>
      </c>
      <c r="AG39" s="92"/>
      <c r="AH39" s="92" t="str">
        <f>CONCATENATE( IF('اسفند 402'!AH43=1,"ص‌‌",""),IF('اسفند 402'!AI43=1,"ص‌'",""),IF('اسفند 402'!AH44=1,"ع‌",""),IF('اسفند 402'!AI44=1,"ع‌",""),IF('اسفند 402'!AH45=1,"ش‌",""),IF('اسفند 402'!AI45=1,"ش'‌",""), IF('اسفند 402'!AH43="*","",""), IF('اسفند 402'!AH43="@","*",""))</f>
        <v>ص‌‌ش‌</v>
      </c>
      <c r="AI39" s="92"/>
      <c r="AJ39" s="92" t="str">
        <f>CONCATENATE( IF('اسفند 402'!AJ43=1,"ص‌‌",""),IF('اسفند 402'!AK43=1,"ص‌'",""),IF('اسفند 402'!AJ44=1,"ع‌",""),IF('اسفند 402'!AK44=1,"ع‌",""),IF('اسفند 402'!AJ45=1,"ش‌",""),IF('اسفند 402'!AK45=1,"ش'‌",""), IF('اسفند 402'!AJ43="*","",""), IF('اسفند 402'!AJ43="@","*",""))</f>
        <v/>
      </c>
      <c r="AK39" s="92"/>
      <c r="AL39" s="93" t="str">
        <f>CONCATENATE( IF('اسفند 402'!AL43=1,"ص‌‌",""),IF('اسفند 402'!AM43=1,"ص‌'",""),IF('اسفند 402'!AL44=1,"ع‌",""),IF('اسفند 402'!AM44=1,"ع‌",""),IF('اسفند 402'!AL45=1,"ش‌",""),IF('اسفند 402'!AM45=1,"ش'‌",""), IF('اسفند 402'!AL43="*","",""), IF('اسفند 402'!AL43="@","*",""))</f>
        <v>ص‌‌ع‌</v>
      </c>
      <c r="AM39" s="93"/>
      <c r="AN39" s="92" t="str">
        <f>CONCATENATE( IF('اسفند 402'!AN43=1,"ص‌‌",""),IF('اسفند 402'!AO43=1,"ص‌'",""),IF('اسفند 402'!AN44=1,"ع‌",""),IF('اسفند 402'!AO44=1,"ع‌",""),IF('اسفند 402'!AN45=1,"ش‌",""),IF('اسفند 402'!AO45=1,"ش'‌",""), IF('اسفند 402'!AN43="*","",""), IF('اسفند 402'!AN43="@","*",""))</f>
        <v/>
      </c>
      <c r="AO39" s="92"/>
      <c r="AP39" s="92" t="str">
        <f>CONCATENATE( IF('اسفند 402'!AP43=1,"ص‌‌",""),IF('اسفند 402'!AQ43=1,"ص‌'",""),IF('اسفند 402'!AP44=1,"ع‌",""),IF('اسفند 402'!AQ44=1,"ع‌",""),IF('اسفند 402'!AP45=1,"ش‌",""),IF('اسفند 402'!AQ45=1,"ش'‌",""), IF('اسفند 402'!AP43="*","",""), IF('اسفند 402'!AP43="@","*",""))</f>
        <v/>
      </c>
      <c r="AQ39" s="92"/>
      <c r="AR39" s="92" t="str">
        <f>CONCATENATE( IF('اسفند 402'!AR43=1,"ص‌‌",""),IF('اسفند 402'!AS43=1,"ص‌'",""),IF('اسفند 402'!AR44=1,"ع‌",""),IF('اسفند 402'!AS44=1,"ع‌",""),IF('اسفند 402'!AR45=1,"ش‌",""),IF('اسفند 402'!AS45=1,"ش'‌",""), IF('اسفند 402'!AR43="*","",""), IF('اسفند 402'!AR43="@","*",""))</f>
        <v/>
      </c>
      <c r="AS39" s="92"/>
      <c r="AT39" s="92" t="str">
        <f>CONCATENATE( IF('اسفند 402'!AT43=1,"ص‌‌",""),IF('اسفند 402'!AU43=1,"ص‌'",""),IF('اسفند 402'!AT44=1,"ع‌",""),IF('اسفند 402'!AU44=1,"ع‌",""),IF('اسفند 402'!AT45=1,"ش‌",""),IF('اسفند 402'!AU45=1,"ش'‌",""), IF('اسفند 402'!AT43="*","",""), IF('اسفند 402'!AT43="@","*",""))</f>
        <v>ش‌</v>
      </c>
      <c r="AU39" s="92"/>
      <c r="AV39" s="93" t="str">
        <f>CONCATENATE( IF('اسفند 402'!AV43=1,"ص‌‌",""),IF('اسفند 402'!AW43=1,"ص‌'",""),IF('اسفند 402'!AV44=1,"ع‌",""),IF('اسفند 402'!AW44=1,"ع‌",""),IF('اسفند 402'!AV45=1,"ش‌",""),IF('اسفند 402'!AW45=1,"ش'‌",""), IF('اسفند 402'!AV43="*","",""), IF('اسفند 402'!AV43="@","*",""))</f>
        <v/>
      </c>
      <c r="AW39" s="93"/>
      <c r="AX39" s="93" t="str">
        <f>CONCATENATE( IF('اسفند 402'!AX43=1,"ص‌‌",""),IF('اسفند 402'!AY43=1,"ص‌'",""),IF('اسفند 402'!AX44=1,"ع‌",""),IF('اسفند 402'!AY44=1,"ع‌",""),IF('اسفند 402'!AX45=1,"ش‌",""),IF('اسفند 402'!AY45=1,"ش'‌",""), IF('اسفند 402'!AX43="*","",""), IF('اسفند 402'!AX43="@","*",""))</f>
        <v/>
      </c>
      <c r="AY39" s="93"/>
      <c r="AZ39" s="93" t="str">
        <f>CONCATENATE( IF('اسفند 402'!AZ43=1,"ص‌‌",""),IF('اسفند 402'!BA43=1,"ص‌'",""),IF('اسفند 402'!AZ44=1,"ع‌",""),IF('اسفند 402'!BA44=1,"ع‌",""),IF('اسفند 402'!AZ45=1,"ش‌",""),IF('اسفند 402'!BA45=1,"ش'‌",""), IF('اسفند 402'!AZ43="*","",""), IF('اسفند 402'!AZ43="@","*",""))</f>
        <v>ص‌‌ش‌</v>
      </c>
      <c r="BA39" s="93"/>
      <c r="BB39" s="92" t="str">
        <f>CONCATENATE( IF('اسفند 402'!BB43=1,"ص‌‌",""),IF('اسفند 402'!BC43=1,"ص‌'",""),IF('اسفند 402'!BB44=1,"ع‌",""),IF('اسفند 402'!BC44=1,"ع‌",""),IF('اسفند 402'!BB45=1,"ش‌",""),IF('اسفند 402'!BC45=1,"ش'‌",""), IF('اسفند 402'!BB43="*","",""), IF('اسفند 402'!BB43="@","*",""))</f>
        <v/>
      </c>
      <c r="BC39" s="92"/>
      <c r="BD39" s="92" t="str">
        <f>CONCATENATE( IF('اسفند 402'!BD43=1,"ص‌‌",""),IF('اسفند 402'!BE43=1,"ص‌'",""),IF('اسفند 402'!BD44=1,"ع‌",""),IF('اسفند 402'!BE44=1,"ع‌",""),IF('اسفند 402'!BD45=1,"ش‌",""),IF('اسفند 402'!BE45=1,"ش'‌",""), IF('اسفند 402'!BD43="*","",""), IF('اسفند 402'!BD43="@","*",""))</f>
        <v>ص‌‌ع‌</v>
      </c>
      <c r="BE39" s="92"/>
      <c r="BF39" s="92" t="str">
        <f>CONCATENATE( IF('اسفند 402'!BF43=1,"ص‌‌",""),IF('اسفند 402'!BG43=1,"ص‌'",""),IF('اسفند 402'!BF44=1,"ع‌",""),IF('اسفند 402'!BG44=1,"ع‌",""),IF('اسفند 402'!BF45=1,"ش‌",""),IF('اسفند 402'!BG45=1,"ش'‌",""), IF('اسفند 402'!BF43="*","",""), IF('اسفند 402'!BF43="@","*",""))</f>
        <v/>
      </c>
      <c r="BG39" s="92"/>
      <c r="BH39" s="92" t="str">
        <f>CONCATENATE( IF('اسفند 402'!BH43=1,"ص‌‌",""),IF('اسفند 402'!BI43=1,"ص‌'",""),IF('اسفند 402'!BH44=1,"ع‌",""),IF('اسفند 402'!BI44=1,"ع‌",""),IF('اسفند 402'!BH45=1,"ش‌",""),IF('اسفند 402'!BI45=1,"ش'‌",""), IF('اسفند 402'!BH43="*","",""), IF('اسفند 402'!BH43="@","*",""))</f>
        <v/>
      </c>
      <c r="BI39" s="92"/>
      <c r="BJ39" s="92" t="str">
        <f>CONCATENATE( IF('اسفند 402'!BJ43=1,"ص‌‌",""),IF('اسفند 402'!BK43=1,"ص‌'",""),IF('اسفند 402'!BJ44=1,"ع‌",""),IF('اسفند 402'!BK44=1,"ع‌",""),IF('اسفند 402'!BJ45=1,"ش‌",""),IF('اسفند 402'!BK45=1,"ش'‌",""), IF('اسفند 402'!BJ43="*","",""), IF('اسفند 402'!BJ43="@","*",""))</f>
        <v>*</v>
      </c>
      <c r="BK39" s="92"/>
      <c r="BL39" s="92" t="str">
        <f>CONCATENATE( IF('اسفند 402'!BL43=1,"ص‌‌",""),IF('اسفند 402'!BM43=1,"ص‌'",""),IF('اسفند 402'!BL44=1,"ع‌",""),IF('اسفند 402'!BM44=1,"ع‌",""),IF('اسفند 402'!BL45=1,"ش‌",""),IF('اسفند 402'!BM45=1,"ش'‌",""), IF('اسفند 402'!BL43="*","",""), IF('اسفند 402'!BL43="@","*",""))</f>
        <v/>
      </c>
      <c r="BM39" s="92"/>
      <c r="BN39" s="93" t="str">
        <f>CONCATENATE( IF('اسفند 402'!BN43=1,"ص‌‌",""),IF('اسفند 402'!BO43=1,"ص‌'",""),IF('اسفند 402'!BN44=1,"ع‌",""),IF('اسفند 402'!BO44=1,"ع‌",""),IF('اسفند 402'!BN45=1,"ش‌",""),IF('اسفند 402'!BO45=1,"ش'‌",""), IF('اسفند 402'!BN43="*","",""), IF('اسفند 402'!BN43="@","*",""))</f>
        <v>ص‌‌ش‌</v>
      </c>
      <c r="BO39" s="93"/>
      <c r="BP39" s="83">
        <f>'اسفند 402'!C44</f>
        <v>24</v>
      </c>
    </row>
    <row r="40" spans="1:68" s="33" customFormat="1" ht="6" customHeight="1" x14ac:dyDescent="0.25">
      <c r="A40" s="88"/>
      <c r="B40" s="83"/>
      <c r="C40" s="83"/>
      <c r="D40" s="112"/>
      <c r="E40" s="83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3"/>
      <c r="AM40" s="93"/>
      <c r="AN40" s="92"/>
      <c r="AO40" s="92"/>
      <c r="AP40" s="92"/>
      <c r="AQ40" s="92"/>
      <c r="AR40" s="92"/>
      <c r="AS40" s="92"/>
      <c r="AT40" s="92"/>
      <c r="AU40" s="92"/>
      <c r="AV40" s="93"/>
      <c r="AW40" s="93"/>
      <c r="AX40" s="93"/>
      <c r="AY40" s="93"/>
      <c r="AZ40" s="93"/>
      <c r="BA40" s="93"/>
      <c r="BB40" s="92"/>
      <c r="BC40" s="92"/>
      <c r="BD40" s="92"/>
      <c r="BE40" s="92"/>
      <c r="BF40" s="92"/>
      <c r="BG40" s="92"/>
      <c r="BH40" s="92"/>
      <c r="BI40" s="92"/>
      <c r="BJ40" s="92"/>
      <c r="BK40" s="92"/>
      <c r="BL40" s="92"/>
      <c r="BM40" s="92"/>
      <c r="BN40" s="93"/>
      <c r="BO40" s="93"/>
      <c r="BP40" s="83"/>
    </row>
    <row r="41" spans="1:68" s="33" customFormat="1" ht="6" customHeight="1" x14ac:dyDescent="0.25">
      <c r="A41" s="88"/>
      <c r="B41" s="83"/>
      <c r="C41" s="83"/>
      <c r="D41" s="112"/>
      <c r="E41" s="83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3"/>
      <c r="AM41" s="93"/>
      <c r="AN41" s="92"/>
      <c r="AO41" s="92"/>
      <c r="AP41" s="92"/>
      <c r="AQ41" s="92"/>
      <c r="AR41" s="92"/>
      <c r="AS41" s="92"/>
      <c r="AT41" s="92"/>
      <c r="AU41" s="92"/>
      <c r="AV41" s="93"/>
      <c r="AW41" s="93"/>
      <c r="AX41" s="93"/>
      <c r="AY41" s="93"/>
      <c r="AZ41" s="93"/>
      <c r="BA41" s="93"/>
      <c r="BB41" s="92"/>
      <c r="BC41" s="92"/>
      <c r="BD41" s="92"/>
      <c r="BE41" s="92"/>
      <c r="BF41" s="92"/>
      <c r="BG41" s="92"/>
      <c r="BH41" s="92"/>
      <c r="BI41" s="92"/>
      <c r="BJ41" s="92"/>
      <c r="BK41" s="92"/>
      <c r="BL41" s="92"/>
      <c r="BM41" s="92"/>
      <c r="BN41" s="93"/>
      <c r="BO41" s="93"/>
      <c r="BP41" s="83"/>
    </row>
    <row r="42" spans="1:68" s="33" customFormat="1" ht="6" customHeight="1" x14ac:dyDescent="0.25">
      <c r="A42" s="88"/>
      <c r="B42" s="85">
        <v>14</v>
      </c>
      <c r="C42" s="83" t="str">
        <f>'اسفند 402'!B46</f>
        <v>x13</v>
      </c>
      <c r="D42" s="112" t="s">
        <v>30</v>
      </c>
      <c r="E42" s="83">
        <v>2</v>
      </c>
      <c r="F42" s="92" t="str">
        <f>CONCATENATE( IF('اسفند 402'!F46=1,"ص‌‌",""),IF('اسفند 402'!G46=1,"ص‌'",""),IF('اسفند 402'!F47=1,"ع‌",""),IF('اسفند 402'!G47=1,"ع‌",""),IF('اسفند 402'!F48=1,"ش‌",""),IF('اسفند 402'!G48=1,"ش'‌",""), IF('اسفند 402'!F46="*","",""), IF('اسفند 402'!F46="@","*",""))</f>
        <v/>
      </c>
      <c r="G42" s="92"/>
      <c r="H42" s="92" t="str">
        <f>CONCATENATE( IF('اسفند 402'!H46=1,"ص‌‌",""),IF('اسفند 402'!I46=1,"ص‌'",""),IF('اسفند 402'!H47=1,"ع‌",""),IF('اسفند 402'!I47=1,"ع‌",""),IF('اسفند 402'!H48=1,"ش‌",""),IF('اسفند 402'!I48=1,"ش'‌",""), IF('اسفند 402'!H46="*","",""), IF('اسفند 402'!H46="@","*",""))</f>
        <v>ص‌‌ش‌</v>
      </c>
      <c r="I42" s="92"/>
      <c r="J42" s="92" t="str">
        <f>CONCATENATE( IF('اسفند 402'!J46=1,"ص‌‌",""),IF('اسفند 402'!K46=1,"ص‌'",""),IF('اسفند 402'!J47=1,"ع‌",""),IF('اسفند 402'!K47=1,"ع‌",""),IF('اسفند 402'!J48=1,"ش‌",""),IF('اسفند 402'!K48=1,"ش'‌",""), IF('اسفند 402'!J46="*","",""), IF('اسفند 402'!J46="@","*",""))</f>
        <v/>
      </c>
      <c r="K42" s="92"/>
      <c r="L42" s="92" t="str">
        <f>CONCATENATE( IF('اسفند 402'!L46=1,"ص‌‌",""),IF('اسفند 402'!M46=1,"ص‌'",""),IF('اسفند 402'!L47=1,"ع‌",""),IF('اسفند 402'!M47=1,"ع‌",""),IF('اسفند 402'!L48=1,"ش‌",""),IF('اسفند 402'!M48=1,"ش'‌",""), IF('اسفند 402'!L46="*","",""), IF('اسفند 402'!L46="@","*",""))</f>
        <v>ع‌</v>
      </c>
      <c r="M42" s="92"/>
      <c r="N42" s="92" t="str">
        <f>CONCATENATE( IF('اسفند 402'!N46=1,"ص‌‌",""),IF('اسفند 402'!O46=1,"ص‌'",""),IF('اسفند 402'!N47=1,"ع‌",""),IF('اسفند 402'!O47=1,"ع‌",""),IF('اسفند 402'!N48=1,"ش‌",""),IF('اسفند 402'!O48=1,"ش'‌",""), IF('اسفند 402'!N46="*","",""), IF('اسفند 402'!N46="@","*",""))</f>
        <v>ص‌‌ع‌</v>
      </c>
      <c r="O42" s="92"/>
      <c r="P42" s="92" t="str">
        <f>CONCATENATE( IF('اسفند 402'!P46=1,"ص‌‌",""),IF('اسفند 402'!Q46=1,"ص‌'",""),IF('اسفند 402'!P47=1,"ع‌",""),IF('اسفند 402'!Q47=1,"ع‌",""),IF('اسفند 402'!P48=1,"ش‌",""),IF('اسفند 402'!Q48=1,"ش'‌",""), IF('اسفند 402'!P46="*","",""), IF('اسفند 402'!P46="@","*",""))</f>
        <v>ص‌‌ش‌</v>
      </c>
      <c r="Q42" s="92"/>
      <c r="R42" s="92" t="str">
        <f>CONCATENATE( IF('اسفند 402'!R46=1,"ص‌‌",""),IF('اسفند 402'!S46=1,"ص‌'",""),IF('اسفند 402'!R47=1,"ع‌",""),IF('اسفند 402'!S47=1,"ع‌",""),IF('اسفند 402'!R48=1,"ش‌",""),IF('اسفند 402'!S48=1,"ش'‌",""), IF('اسفند 402'!R46="*","",""), IF('اسفند 402'!R46="@","*",""))</f>
        <v/>
      </c>
      <c r="S42" s="92"/>
      <c r="T42" s="92" t="str">
        <f>CONCATENATE( IF('اسفند 402'!T46=1,"ص‌‌",""),IF('اسفند 402'!U46=1,"ص‌'",""),IF('اسفند 402'!T47=1,"ع‌",""),IF('اسفند 402'!U47=1,"ع‌",""),IF('اسفند 402'!T48=1,"ش‌",""),IF('اسفند 402'!U48=1,"ش'‌",""), IF('اسفند 402'!T46="*","",""), IF('اسفند 402'!T46="@","*",""))</f>
        <v/>
      </c>
      <c r="U42" s="92"/>
      <c r="V42" s="92" t="str">
        <f>CONCATENATE( IF('اسفند 402'!V46=1,"ص‌‌",""),IF('اسفند 402'!W46=1,"ص‌'",""),IF('اسفند 402'!V47=1,"ع‌",""),IF('اسفند 402'!W47=1,"ع‌",""),IF('اسفند 402'!V48=1,"ش‌",""),IF('اسفند 402'!W48=1,"ش'‌",""), IF('اسفند 402'!V46="*","",""), IF('اسفند 402'!V46="@","*",""))</f>
        <v/>
      </c>
      <c r="W42" s="92"/>
      <c r="X42" s="92" t="str">
        <f>CONCATENATE( IF('اسفند 402'!X46=1,"ص‌‌",""),IF('اسفند 402'!Y46=1,"ص‌'",""),IF('اسفند 402'!X47=1,"ع‌",""),IF('اسفند 402'!Y47=1,"ع‌",""),IF('اسفند 402'!X48=1,"ش‌",""),IF('اسفند 402'!Y48=1,"ش'‌",""), IF('اسفند 402'!X46="*","",""), IF('اسفند 402'!X46="@","*",""))</f>
        <v/>
      </c>
      <c r="Y42" s="92"/>
      <c r="Z42" s="92" t="str">
        <f>CONCATENATE( IF('اسفند 402'!Z46=1,"ص‌‌",""),IF('اسفند 402'!AA46=1,"ص‌'",""),IF('اسفند 402'!Z47=1,"ع‌",""),IF('اسفند 402'!AA47=1,"ع‌",""),IF('اسفند 402'!Z48=1,"ش‌",""),IF('اسفند 402'!AA48=1,"ش'‌",""), IF('اسفند 402'!Z46="*","",""), IF('اسفند 402'!Z46="@","*",""))</f>
        <v/>
      </c>
      <c r="AA42" s="92"/>
      <c r="AB42" s="92" t="str">
        <f>CONCATENATE( IF('اسفند 402'!AB46=1,"ص‌‌",""),IF('اسفند 402'!AC46=1,"ص‌'",""),IF('اسفند 402'!AB47=1,"ع‌",""),IF('اسفند 402'!AC47=1,"ع‌",""),IF('اسفند 402'!AB48=1,"ش‌",""),IF('اسفند 402'!AC48=1,"ش'‌",""), IF('اسفند 402'!AB46="*","",""), IF('اسفند 402'!AB46="@","*",""))</f>
        <v/>
      </c>
      <c r="AC42" s="92"/>
      <c r="AD42" s="92" t="str">
        <f>CONCATENATE( IF('اسفند 402'!AD46=1,"ص‌‌",""),IF('اسفند 402'!AE46=1,"ص‌'",""),IF('اسفند 402'!AD47=1,"ع‌",""),IF('اسفند 402'!AE47=1,"ع‌",""),IF('اسفند 402'!AD48=1,"ش‌",""),IF('اسفند 402'!AE48=1,"ش'‌",""), IF('اسفند 402'!AD46="*","",""), IF('اسفند 402'!AD46="@","*",""))</f>
        <v/>
      </c>
      <c r="AE42" s="92"/>
      <c r="AF42" s="92" t="str">
        <f>CONCATENATE( IF('اسفند 402'!AF46=1,"ص‌‌",""),IF('اسفند 402'!AG46=1,"ص‌'",""),IF('اسفند 402'!AF47=1,"ع‌",""),IF('اسفند 402'!AG47=1,"ع‌",""),IF('اسفند 402'!AF48=1,"ش‌",""),IF('اسفند 402'!AG48=1,"ش'‌",""), IF('اسفند 402'!AF46="*","",""), IF('اسفند 402'!AF46="@","*",""))</f>
        <v>ش‌</v>
      </c>
      <c r="AG42" s="92"/>
      <c r="AH42" s="92" t="str">
        <f>CONCATENATE( IF('اسفند 402'!AH46=1,"ص‌‌",""),IF('اسفند 402'!AI46=1,"ص‌'",""),IF('اسفند 402'!AH47=1,"ع‌",""),IF('اسفند 402'!AI47=1,"ع‌",""),IF('اسفند 402'!AH48=1,"ش‌",""),IF('اسفند 402'!AI48=1,"ش'‌",""), IF('اسفند 402'!AH46="*","",""), IF('اسفند 402'!AH46="@","*",""))</f>
        <v/>
      </c>
      <c r="AI42" s="92"/>
      <c r="AJ42" s="92" t="str">
        <f>CONCATENATE( IF('اسفند 402'!AJ46=1,"ص‌‌",""),IF('اسفند 402'!AK46=1,"ص‌'",""),IF('اسفند 402'!AJ47=1,"ع‌",""),IF('اسفند 402'!AK47=1,"ع‌",""),IF('اسفند 402'!AJ48=1,"ش‌",""),IF('اسفند 402'!AK48=1,"ش'‌",""), IF('اسفند 402'!AJ46="*","",""), IF('اسفند 402'!AJ46="@","*",""))</f>
        <v/>
      </c>
      <c r="AK42" s="92"/>
      <c r="AL42" s="93" t="str">
        <f>CONCATENATE( IF('اسفند 402'!AL46=1,"ص‌‌",""),IF('اسفند 402'!AM46=1,"ص‌'",""),IF('اسفند 402'!AL47=1,"ع‌",""),IF('اسفند 402'!AM47=1,"ع‌",""),IF('اسفند 402'!AL48=1,"ش‌",""),IF('اسفند 402'!AM48=1,"ش'‌",""), IF('اسفند 402'!AL46="*","",""), IF('اسفند 402'!AL46="@","*",""))</f>
        <v/>
      </c>
      <c r="AM42" s="93"/>
      <c r="AN42" s="92" t="str">
        <f>CONCATENATE( IF('اسفند 402'!AN46=1,"ص‌‌",""),IF('اسفند 402'!AO46=1,"ص‌'",""),IF('اسفند 402'!AN47=1,"ع‌",""),IF('اسفند 402'!AO47=1,"ع‌",""),IF('اسفند 402'!AN48=1,"ش‌",""),IF('اسفند 402'!AO48=1,"ش'‌",""), IF('اسفند 402'!AN46="*","",""), IF('اسفند 402'!AN46="@","*",""))</f>
        <v/>
      </c>
      <c r="AO42" s="92"/>
      <c r="AP42" s="92" t="str">
        <f>CONCATENATE( IF('اسفند 402'!AP46=1,"ص‌‌",""),IF('اسفند 402'!AQ46=1,"ص‌'",""),IF('اسفند 402'!AP47=1,"ع‌",""),IF('اسفند 402'!AQ47=1,"ع‌",""),IF('اسفند 402'!AP48=1,"ش‌",""),IF('اسفند 402'!AQ48=1,"ش'‌",""), IF('اسفند 402'!AP46="*","",""), IF('اسفند 402'!AP46="@","*",""))</f>
        <v/>
      </c>
      <c r="AQ42" s="92"/>
      <c r="AR42" s="92" t="str">
        <f>CONCATENATE( IF('اسفند 402'!AR46=1,"ص‌‌",""),IF('اسفند 402'!AS46=1,"ص‌'",""),IF('اسفند 402'!AR47=1,"ع‌",""),IF('اسفند 402'!AS47=1,"ع‌",""),IF('اسفند 402'!AR48=1,"ش‌",""),IF('اسفند 402'!AS48=1,"ش'‌",""), IF('اسفند 402'!AR46="*","",""), IF('اسفند 402'!AR46="@","*",""))</f>
        <v/>
      </c>
      <c r="AS42" s="92"/>
      <c r="AT42" s="92" t="str">
        <f>CONCATENATE( IF('اسفند 402'!AT46=1,"ص‌‌",""),IF('اسفند 402'!AU46=1,"ص‌'",""),IF('اسفند 402'!AT47=1,"ع‌",""),IF('اسفند 402'!AU47=1,"ع‌",""),IF('اسفند 402'!AT48=1,"ش‌",""),IF('اسفند 402'!AU48=1,"ش'‌",""), IF('اسفند 402'!AT46="*","",""), IF('اسفند 402'!AT46="@","*",""))</f>
        <v>ص‌‌ع‌</v>
      </c>
      <c r="AU42" s="92"/>
      <c r="AV42" s="93" t="str">
        <f>CONCATENATE( IF('اسفند 402'!AV46=1,"ص‌‌",""),IF('اسفند 402'!AW46=1,"ص‌'",""),IF('اسفند 402'!AV47=1,"ع‌",""),IF('اسفند 402'!AW47=1,"ع‌",""),IF('اسفند 402'!AV48=1,"ش‌",""),IF('اسفند 402'!AW48=1,"ش'‌",""), IF('اسفند 402'!AV46="*","",""), IF('اسفند 402'!AV46="@","*",""))</f>
        <v/>
      </c>
      <c r="AW42" s="93"/>
      <c r="AX42" s="93" t="str">
        <f>CONCATENATE( IF('اسفند 402'!AX46=1,"ص‌‌",""),IF('اسفند 402'!AY46=1,"ص‌'",""),IF('اسفند 402'!AX47=1,"ع‌",""),IF('اسفند 402'!AY47=1,"ع‌",""),IF('اسفند 402'!AX48=1,"ش‌",""),IF('اسفند 402'!AY48=1,"ش'‌",""), IF('اسفند 402'!AX46="*","",""), IF('اسفند 402'!AX46="@","*",""))</f>
        <v>ع‌</v>
      </c>
      <c r="AY42" s="93"/>
      <c r="AZ42" s="93" t="str">
        <f>CONCATENATE( IF('اسفند 402'!AZ46=1,"ص‌‌",""),IF('اسفند 402'!BA46=1,"ص‌'",""),IF('اسفند 402'!AZ47=1,"ع‌",""),IF('اسفند 402'!BA47=1,"ع‌",""),IF('اسفند 402'!AZ48=1,"ش‌",""),IF('اسفند 402'!BA48=1,"ش'‌",""), IF('اسفند 402'!AZ46="*","",""), IF('اسفند 402'!AZ46="@","*",""))</f>
        <v/>
      </c>
      <c r="BA42" s="93"/>
      <c r="BB42" s="92" t="str">
        <f>CONCATENATE( IF('اسفند 402'!BB46=1,"ص‌‌",""),IF('اسفند 402'!BC46=1,"ص‌'",""),IF('اسفند 402'!BB47=1,"ع‌",""),IF('اسفند 402'!BC47=1,"ع‌",""),IF('اسفند 402'!BB48=1,"ش‌",""),IF('اسفند 402'!BC48=1,"ش'‌",""), IF('اسفند 402'!BB46="*","",""), IF('اسفند 402'!BB46="@","*",""))</f>
        <v>ص‌‌ش‌</v>
      </c>
      <c r="BC42" s="92"/>
      <c r="BD42" s="92" t="str">
        <f>CONCATENATE( IF('اسفند 402'!BD46=1,"ص‌‌",""),IF('اسفند 402'!BE46=1,"ص‌'",""),IF('اسفند 402'!BD47=1,"ع‌",""),IF('اسفند 402'!BE47=1,"ع‌",""),IF('اسفند 402'!BD48=1,"ش‌",""),IF('اسفند 402'!BE48=1,"ش'‌",""), IF('اسفند 402'!BD46="*","",""), IF('اسفند 402'!BD46="@","*",""))</f>
        <v/>
      </c>
      <c r="BE42" s="92"/>
      <c r="BF42" s="92" t="str">
        <f>CONCATENATE( IF('اسفند 402'!BF46=1,"ص‌‌",""),IF('اسفند 402'!BG46=1,"ص‌'",""),IF('اسفند 402'!BF47=1,"ع‌",""),IF('اسفند 402'!BG47=1,"ع‌",""),IF('اسفند 402'!BF48=1,"ش‌",""),IF('اسفند 402'!BG48=1,"ش'‌",""), IF('اسفند 402'!BF46="*","",""), IF('اسفند 402'!BF46="@","*",""))</f>
        <v>ش‌</v>
      </c>
      <c r="BG42" s="92"/>
      <c r="BH42" s="92" t="str">
        <f>CONCATENATE( IF('اسفند 402'!BH46=1,"ص‌‌",""),IF('اسفند 402'!BI46=1,"ص‌'",""),IF('اسفند 402'!BH47=1,"ع‌",""),IF('اسفند 402'!BI47=1,"ع‌",""),IF('اسفند 402'!BH48=1,"ش‌",""),IF('اسفند 402'!BI48=1,"ش'‌",""), IF('اسفند 402'!BH46="*","",""), IF('اسفند 402'!BH46="@","*",""))</f>
        <v/>
      </c>
      <c r="BI42" s="92"/>
      <c r="BJ42" s="92" t="str">
        <f>CONCATENATE( IF('اسفند 402'!BJ46=1,"ص‌‌",""),IF('اسفند 402'!BK46=1,"ص‌'",""),IF('اسفند 402'!BJ47=1,"ع‌",""),IF('اسفند 402'!BK47=1,"ع‌",""),IF('اسفند 402'!BJ48=1,"ش‌",""),IF('اسفند 402'!BK48=1,"ش'‌",""), IF('اسفند 402'!BJ46="*","",""), IF('اسفند 402'!BJ46="@","*",""))</f>
        <v>ص‌‌ش‌</v>
      </c>
      <c r="BK42" s="92"/>
      <c r="BL42" s="92" t="str">
        <f>CONCATENATE( IF('اسفند 402'!BL46=1,"ص‌‌",""),IF('اسفند 402'!BM46=1,"ص‌'",""),IF('اسفند 402'!BL47=1,"ع‌",""),IF('اسفند 402'!BM47=1,"ع‌",""),IF('اسفند 402'!BL48=1,"ش‌",""),IF('اسفند 402'!BM48=1,"ش'‌",""), IF('اسفند 402'!BL46="*","",""), IF('اسفند 402'!BL46="@","*",""))</f>
        <v/>
      </c>
      <c r="BM42" s="92"/>
      <c r="BN42" s="93" t="str">
        <f>CONCATENATE( IF('اسفند 402'!BN46=1,"ص‌‌",""),IF('اسفند 402'!BO46=1,"ص‌'",""),IF('اسفند 402'!BN47=1,"ع‌",""),IF('اسفند 402'!BO47=1,"ع‌",""),IF('اسفند 402'!BN48=1,"ش‌",""),IF('اسفند 402'!BO48=1,"ش'‌",""), IF('اسفند 402'!BN46="*","",""), IF('اسفند 402'!BN46="@","*",""))</f>
        <v>ص‌‌ع‌</v>
      </c>
      <c r="BO42" s="93"/>
      <c r="BP42" s="83">
        <f>'اسفند 402'!C47</f>
        <v>24</v>
      </c>
    </row>
    <row r="43" spans="1:68" s="33" customFormat="1" ht="6" customHeight="1" x14ac:dyDescent="0.25">
      <c r="A43" s="88"/>
      <c r="B43" s="86"/>
      <c r="C43" s="83"/>
      <c r="D43" s="112"/>
      <c r="E43" s="83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3"/>
      <c r="AM43" s="93"/>
      <c r="AN43" s="92"/>
      <c r="AO43" s="92"/>
      <c r="AP43" s="92"/>
      <c r="AQ43" s="92"/>
      <c r="AR43" s="92"/>
      <c r="AS43" s="92"/>
      <c r="AT43" s="92"/>
      <c r="AU43" s="92"/>
      <c r="AV43" s="93"/>
      <c r="AW43" s="93"/>
      <c r="AX43" s="93"/>
      <c r="AY43" s="93"/>
      <c r="AZ43" s="93"/>
      <c r="BA43" s="93"/>
      <c r="BB43" s="92"/>
      <c r="BC43" s="92"/>
      <c r="BD43" s="92"/>
      <c r="BE43" s="92"/>
      <c r="BF43" s="92"/>
      <c r="BG43" s="92"/>
      <c r="BH43" s="92"/>
      <c r="BI43" s="92"/>
      <c r="BJ43" s="92"/>
      <c r="BK43" s="92"/>
      <c r="BL43" s="92"/>
      <c r="BM43" s="92"/>
      <c r="BN43" s="93"/>
      <c r="BO43" s="93"/>
      <c r="BP43" s="83"/>
    </row>
    <row r="44" spans="1:68" s="33" customFormat="1" ht="6" customHeight="1" x14ac:dyDescent="0.25">
      <c r="A44" s="88"/>
      <c r="B44" s="87"/>
      <c r="C44" s="83"/>
      <c r="D44" s="112"/>
      <c r="E44" s="83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3"/>
      <c r="AM44" s="93"/>
      <c r="AN44" s="92"/>
      <c r="AO44" s="92"/>
      <c r="AP44" s="92"/>
      <c r="AQ44" s="92"/>
      <c r="AR44" s="92"/>
      <c r="AS44" s="92"/>
      <c r="AT44" s="92"/>
      <c r="AU44" s="92"/>
      <c r="AV44" s="93"/>
      <c r="AW44" s="93"/>
      <c r="AX44" s="93"/>
      <c r="AY44" s="93"/>
      <c r="AZ44" s="93"/>
      <c r="BA44" s="93"/>
      <c r="BB44" s="92"/>
      <c r="BC44" s="92"/>
      <c r="BD44" s="92"/>
      <c r="BE44" s="92"/>
      <c r="BF44" s="92"/>
      <c r="BG44" s="92"/>
      <c r="BH44" s="92"/>
      <c r="BI44" s="92"/>
      <c r="BJ44" s="92"/>
      <c r="BK44" s="92"/>
      <c r="BL44" s="92"/>
      <c r="BM44" s="92"/>
      <c r="BN44" s="93"/>
      <c r="BO44" s="93"/>
      <c r="BP44" s="83"/>
    </row>
    <row r="45" spans="1:68" s="33" customFormat="1" ht="6" customHeight="1" x14ac:dyDescent="0.25">
      <c r="A45" s="88"/>
      <c r="B45" s="85">
        <v>15</v>
      </c>
      <c r="C45" s="83" t="str">
        <f>'اسفند 402'!B49</f>
        <v>x14</v>
      </c>
      <c r="D45" s="112" t="s">
        <v>31</v>
      </c>
      <c r="E45" s="83">
        <v>5.4</v>
      </c>
      <c r="F45" s="92" t="str">
        <f>CONCATENATE( IF('اسفند 402'!F49=1,"ص‌‌",""),IF('اسفند 402'!G49=1,"ص‌'",""),IF('اسفند 402'!F50=1,"ع‌",""),IF('اسفند 402'!G50=1,"ع‌",""),IF('اسفند 402'!F51=1,"ش‌",""),IF('اسفند 402'!G51=1,"ش'‌",""), IF('اسفند 402'!F49="*","",""), IF('اسفند 402'!F49="@","*",""))</f>
        <v>ص‌‌ع‌</v>
      </c>
      <c r="G45" s="92"/>
      <c r="H45" s="92" t="str">
        <f>CONCATENATE( IF('اسفند 402'!H49=1,"ص‌‌",""),IF('اسفند 402'!I49=1,"ص‌'",""),IF('اسفند 402'!H50=1,"ع‌",""),IF('اسفند 402'!I50=1,"ع‌",""),IF('اسفند 402'!H51=1,"ش‌",""),IF('اسفند 402'!I51=1,"ش'‌",""), IF('اسفند 402'!H49="*","",""), IF('اسفند 402'!H49="@","*",""))</f>
        <v>ص‌‌ش‌</v>
      </c>
      <c r="I45" s="92"/>
      <c r="J45" s="92" t="str">
        <f>CONCATENATE( IF('اسفند 402'!J49=1,"ص‌‌",""),IF('اسفند 402'!K49=1,"ص‌'",""),IF('اسفند 402'!J50=1,"ع‌",""),IF('اسفند 402'!K50=1,"ع‌",""),IF('اسفند 402'!J51=1,"ش‌",""),IF('اسفند 402'!K51=1,"ش'‌",""), IF('اسفند 402'!J49="*","",""), IF('اسفند 402'!J49="@","*",""))</f>
        <v/>
      </c>
      <c r="K45" s="92"/>
      <c r="L45" s="92" t="str">
        <f>CONCATENATE( IF('اسفند 402'!L49=1,"ص‌‌",""),IF('اسفند 402'!M49=1,"ص‌'",""),IF('اسفند 402'!L50=1,"ع‌",""),IF('اسفند 402'!M50=1,"ع‌",""),IF('اسفند 402'!L51=1,"ش‌",""),IF('اسفند 402'!M51=1,"ش'‌",""), IF('اسفند 402'!L49="*","",""), IF('اسفند 402'!L49="@","*",""))</f>
        <v>ص‌‌</v>
      </c>
      <c r="M45" s="92"/>
      <c r="N45" s="92" t="str">
        <f>CONCATENATE( IF('اسفند 402'!N49=1,"ص‌‌",""),IF('اسفند 402'!O49=1,"ص‌'",""),IF('اسفند 402'!N50=1,"ع‌",""),IF('اسفند 402'!O50=1,"ع‌",""),IF('اسفند 402'!N51=1,"ش‌",""),IF('اسفند 402'!O51=1,"ش'‌",""), IF('اسفند 402'!N49="*","",""), IF('اسفند 402'!N49="@","*",""))</f>
        <v>ص‌‌ش‌</v>
      </c>
      <c r="O45" s="92"/>
      <c r="P45" s="92" t="str">
        <f>CONCATENATE( IF('اسفند 402'!P49=1,"ص‌‌",""),IF('اسفند 402'!Q49=1,"ص‌'",""),IF('اسفند 402'!P50=1,"ع‌",""),IF('اسفند 402'!Q50=1,"ع‌",""),IF('اسفند 402'!P51=1,"ش‌",""),IF('اسفند 402'!Q51=1,"ش'‌",""), IF('اسفند 402'!P49="*","",""), IF('اسفند 402'!P49="@","*",""))</f>
        <v/>
      </c>
      <c r="Q45" s="92"/>
      <c r="R45" s="92" t="str">
        <f>CONCATENATE( IF('اسفند 402'!R49=1,"ص‌‌",""),IF('اسفند 402'!S49=1,"ص‌'",""),IF('اسفند 402'!R50=1,"ع‌",""),IF('اسفند 402'!S50=1,"ع‌",""),IF('اسفند 402'!R51=1,"ش‌",""),IF('اسفند 402'!S51=1,"ش'‌",""), IF('اسفند 402'!R49="*","",""), IF('اسفند 402'!R49="@","*",""))</f>
        <v/>
      </c>
      <c r="S45" s="92"/>
      <c r="T45" s="92" t="str">
        <f>CONCATENATE( IF('اسفند 402'!T49=1,"ص‌‌",""),IF('اسفند 402'!U49=1,"ص‌'",""),IF('اسفند 402'!T50=1,"ع‌",""),IF('اسفند 402'!U50=1,"ع‌",""),IF('اسفند 402'!T51=1,"ش‌",""),IF('اسفند 402'!U51=1,"ش'‌",""), IF('اسفند 402'!T49="*","",""), IF('اسفند 402'!T49="@","*",""))</f>
        <v/>
      </c>
      <c r="U45" s="92"/>
      <c r="V45" s="92" t="str">
        <f>CONCATENATE( IF('اسفند 402'!V49=1,"ص‌‌",""),IF('اسفند 402'!W49=1,"ص‌'",""),IF('اسفند 402'!V50=1,"ع‌",""),IF('اسفند 402'!W50=1,"ع‌",""),IF('اسفند 402'!V51=1,"ش‌",""),IF('اسفند 402'!W51=1,"ش'‌",""), IF('اسفند 402'!V49="*","",""), IF('اسفند 402'!V49="@","*",""))</f>
        <v/>
      </c>
      <c r="W45" s="92"/>
      <c r="X45" s="92" t="str">
        <f>CONCATENATE( IF('اسفند 402'!X49=1,"ص‌‌",""),IF('اسفند 402'!Y49=1,"ص‌'",""),IF('اسفند 402'!X50=1,"ع‌",""),IF('اسفند 402'!Y50=1,"ع‌",""),IF('اسفند 402'!X51=1,"ش‌",""),IF('اسفند 402'!Y51=1,"ش'‌",""), IF('اسفند 402'!X49="*","",""), IF('اسفند 402'!X49="@","*",""))</f>
        <v/>
      </c>
      <c r="Y45" s="92"/>
      <c r="Z45" s="92" t="str">
        <f>CONCATENATE( IF('اسفند 402'!Z49=1,"ص‌‌",""),IF('اسفند 402'!AA49=1,"ص‌'",""),IF('اسفند 402'!Z50=1,"ع‌",""),IF('اسفند 402'!AA50=1,"ع‌",""),IF('اسفند 402'!Z51=1,"ش‌",""),IF('اسفند 402'!AA51=1,"ش'‌",""), IF('اسفند 402'!Z49="*","",""), IF('اسفند 402'!Z49="@","*",""))</f>
        <v/>
      </c>
      <c r="AA45" s="92"/>
      <c r="AB45" s="92" t="str">
        <f>CONCATENATE( IF('اسفند 402'!AB49=1,"ص‌‌",""),IF('اسفند 402'!AC49=1,"ص‌'",""),IF('اسفند 402'!AB50=1,"ع‌",""),IF('اسفند 402'!AC50=1,"ع‌",""),IF('اسفند 402'!AB51=1,"ش‌",""),IF('اسفند 402'!AC51=1,"ش'‌",""), IF('اسفند 402'!AB49="*","",""), IF('اسفند 402'!AB49="@","*",""))</f>
        <v/>
      </c>
      <c r="AC45" s="92"/>
      <c r="AD45" s="92" t="str">
        <f>CONCATENATE( IF('اسفند 402'!AD49=1,"ص‌‌",""),IF('اسفند 402'!AE49=1,"ص‌'",""),IF('اسفند 402'!AD50=1,"ع‌",""),IF('اسفند 402'!AE50=1,"ع‌",""),IF('اسفند 402'!AD51=1,"ش‌",""),IF('اسفند 402'!AE51=1,"ش'‌",""), IF('اسفند 402'!AD49="*","",""), IF('اسفند 402'!AD49="@","*",""))</f>
        <v/>
      </c>
      <c r="AE45" s="92"/>
      <c r="AF45" s="92" t="str">
        <f>CONCATENATE( IF('اسفند 402'!AF49=1,"ص‌‌",""),IF('اسفند 402'!AG49=1,"ص‌'",""),IF('اسفند 402'!AF50=1,"ع‌",""),IF('اسفند 402'!AG50=1,"ع‌",""),IF('اسفند 402'!AF51=1,"ش‌",""),IF('اسفند 402'!AG51=1,"ش'‌",""), IF('اسفند 402'!AF49="*","",""), IF('اسفند 402'!AF49="@","*",""))</f>
        <v>ص‌‌ع‌</v>
      </c>
      <c r="AG45" s="92"/>
      <c r="AH45" s="92" t="str">
        <f>CONCATENATE( IF('اسفند 402'!AH49=1,"ص‌‌",""),IF('اسفند 402'!AI49=1,"ص‌'",""),IF('اسفند 402'!AH50=1,"ع‌",""),IF('اسفند 402'!AI50=1,"ع‌",""),IF('اسفند 402'!AH51=1,"ش‌",""),IF('اسفند 402'!AI51=1,"ش'‌",""), IF('اسفند 402'!AH49="*","",""), IF('اسفند 402'!AH49="@","*",""))</f>
        <v/>
      </c>
      <c r="AI45" s="92"/>
      <c r="AJ45" s="92" t="str">
        <f>CONCATENATE( IF('اسفند 402'!AJ49=1,"ص‌‌",""),IF('اسفند 402'!AK49=1,"ص‌'",""),IF('اسفند 402'!AJ50=1,"ع‌",""),IF('اسفند 402'!AK50=1,"ع‌",""),IF('اسفند 402'!AJ51=1,"ش‌",""),IF('اسفند 402'!AK51=1,"ش'‌",""), IF('اسفند 402'!AJ49="*","",""), IF('اسفند 402'!AJ49="@","*",""))</f>
        <v>ش‌</v>
      </c>
      <c r="AK45" s="92"/>
      <c r="AL45" s="93" t="str">
        <f>CONCATENATE( IF('اسفند 402'!AL49=1,"ص‌‌",""),IF('اسفند 402'!AM49=1,"ص‌'",""),IF('اسفند 402'!AL50=1,"ع‌",""),IF('اسفند 402'!AM50=1,"ع‌",""),IF('اسفند 402'!AL51=1,"ش‌",""),IF('اسفند 402'!AM51=1,"ش'‌",""), IF('اسفند 402'!AL49="*","",""), IF('اسفند 402'!AL49="@","*",""))</f>
        <v/>
      </c>
      <c r="AM45" s="93"/>
      <c r="AN45" s="92" t="str">
        <f>CONCATENATE( IF('اسفند 402'!AN49=1,"ص‌‌",""),IF('اسفند 402'!AO49=1,"ص‌'",""),IF('اسفند 402'!AN50=1,"ع‌",""),IF('اسفند 402'!AO50=1,"ع‌",""),IF('اسفند 402'!AN51=1,"ش‌",""),IF('اسفند 402'!AO51=1,"ش'‌",""), IF('اسفند 402'!AN49="*","",""), IF('اسفند 402'!AN49="@","*",""))</f>
        <v/>
      </c>
      <c r="AO45" s="92"/>
      <c r="AP45" s="92" t="str">
        <f>CONCATENATE( IF('اسفند 402'!AP49=1,"ص‌‌",""),IF('اسفند 402'!AQ49=1,"ص‌'",""),IF('اسفند 402'!AP50=1,"ع‌",""),IF('اسفند 402'!AQ50=1,"ع‌",""),IF('اسفند 402'!AP51=1,"ش‌",""),IF('اسفند 402'!AQ51=1,"ش'‌",""), IF('اسفند 402'!AP49="*","",""), IF('اسفند 402'!AP49="@","*",""))</f>
        <v>ص‌‌</v>
      </c>
      <c r="AQ45" s="92"/>
      <c r="AR45" s="92" t="str">
        <f>CONCATENATE( IF('اسفند 402'!AR49=1,"ص‌‌",""),IF('اسفند 402'!AS49=1,"ص‌'",""),IF('اسفند 402'!AR50=1,"ع‌",""),IF('اسفند 402'!AS50=1,"ع‌",""),IF('اسفند 402'!AR51=1,"ش‌",""),IF('اسفند 402'!AS51=1,"ش'‌",""), IF('اسفند 402'!AR49="*","",""), IF('اسفند 402'!AR49="@","*",""))</f>
        <v/>
      </c>
      <c r="AS45" s="92"/>
      <c r="AT45" s="92" t="str">
        <f>CONCATENATE( IF('اسفند 402'!AT49=1,"ص‌‌",""),IF('اسفند 402'!AU49=1,"ص‌'",""),IF('اسفند 402'!AT50=1,"ع‌",""),IF('اسفند 402'!AU50=1,"ع‌",""),IF('اسفند 402'!AT51=1,"ش‌",""),IF('اسفند 402'!AU51=1,"ش'‌",""), IF('اسفند 402'!AT49="*","",""), IF('اسفند 402'!AT49="@","*",""))</f>
        <v>ص‌‌ش‌</v>
      </c>
      <c r="AU45" s="92"/>
      <c r="AV45" s="93" t="str">
        <f>CONCATENATE( IF('اسفند 402'!AV49=1,"ص‌‌",""),IF('اسفند 402'!AW49=1,"ص‌'",""),IF('اسفند 402'!AV50=1,"ع‌",""),IF('اسفند 402'!AW50=1,"ع‌",""),IF('اسفند 402'!AV51=1,"ش‌",""),IF('اسفند 402'!AW51=1,"ش'‌",""), IF('اسفند 402'!AV49="*","",""), IF('اسفند 402'!AV49="@","*",""))</f>
        <v/>
      </c>
      <c r="AW45" s="93"/>
      <c r="AX45" s="93" t="str">
        <f>CONCATENATE( IF('اسفند 402'!AX49=1,"ص‌‌",""),IF('اسفند 402'!AY49=1,"ص‌'",""),IF('اسفند 402'!AX50=1,"ع‌",""),IF('اسفند 402'!AY50=1,"ع‌",""),IF('اسفند 402'!AX51=1,"ش‌",""),IF('اسفند 402'!AY51=1,"ش'‌",""), IF('اسفند 402'!AX49="*","",""), IF('اسفند 402'!AX49="@","*",""))</f>
        <v/>
      </c>
      <c r="AY45" s="93"/>
      <c r="AZ45" s="93" t="str">
        <f>CONCATENATE( IF('اسفند 402'!AZ49=1,"ص‌‌",""),IF('اسفند 402'!BA49=1,"ص‌'",""),IF('اسفند 402'!AZ50=1,"ع‌",""),IF('اسفند 402'!BA50=1,"ع‌",""),IF('اسفند 402'!AZ51=1,"ش‌",""),IF('اسفند 402'!BA51=1,"ش'‌",""), IF('اسفند 402'!AZ49="*","",""), IF('اسفند 402'!AZ49="@","*",""))</f>
        <v>ص‌‌ع‌</v>
      </c>
      <c r="BA45" s="93"/>
      <c r="BB45" s="92" t="str">
        <f>CONCATENATE( IF('اسفند 402'!BB49=1,"ص‌‌",""),IF('اسفند 402'!BC49=1,"ص‌'",""),IF('اسفند 402'!BB50=1,"ع‌",""),IF('اسفند 402'!BC50=1,"ع‌",""),IF('اسفند 402'!BB51=1,"ش‌",""),IF('اسفند 402'!BC51=1,"ش'‌",""), IF('اسفند 402'!BB49="*","",""), IF('اسفند 402'!BB49="@","*",""))</f>
        <v>ص‌‌ش‌</v>
      </c>
      <c r="BC45" s="92"/>
      <c r="BD45" s="92" t="str">
        <f>CONCATENATE( IF('اسفند 402'!BD49=1,"ص‌‌",""),IF('اسفند 402'!BE49=1,"ص‌'",""),IF('اسفند 402'!BD50=1,"ع‌",""),IF('اسفند 402'!BE50=1,"ع‌",""),IF('اسفند 402'!BD51=1,"ش‌",""),IF('اسفند 402'!BE51=1,"ش'‌",""), IF('اسفند 402'!BD49="*","",""), IF('اسفند 402'!BD49="@","*",""))</f>
        <v/>
      </c>
      <c r="BE45" s="92"/>
      <c r="BF45" s="92" t="str">
        <f>CONCATENATE( IF('اسفند 402'!BF49=1,"ص‌‌",""),IF('اسفند 402'!BG49=1,"ص‌'",""),IF('اسفند 402'!BF50=1,"ع‌",""),IF('اسفند 402'!BG50=1,"ع‌",""),IF('اسفند 402'!BF51=1,"ش‌",""),IF('اسفند 402'!BG51=1,"ش'‌",""), IF('اسفند 402'!BF49="*","",""), IF('اسفند 402'!BF49="@","*",""))</f>
        <v/>
      </c>
      <c r="BG45" s="92"/>
      <c r="BH45" s="92" t="str">
        <f>CONCATENATE( IF('اسفند 402'!BH49=1,"ص‌‌",""),IF('اسفند 402'!BI49=1,"ص‌'",""),IF('اسفند 402'!BH50=1,"ع‌",""),IF('اسفند 402'!BI50=1,"ع‌",""),IF('اسفند 402'!BH51=1,"ش‌",""),IF('اسفند 402'!BI51=1,"ش'‌",""), IF('اسفند 402'!BH49="*","",""), IF('اسفند 402'!BH49="@","*",""))</f>
        <v/>
      </c>
      <c r="BI45" s="92"/>
      <c r="BJ45" s="92" t="str">
        <f>CONCATENATE( IF('اسفند 402'!BJ49=1,"ص‌‌",""),IF('اسفند 402'!BK49=1,"ص‌'",""),IF('اسفند 402'!BJ50=1,"ع‌",""),IF('اسفند 402'!BK50=1,"ع‌",""),IF('اسفند 402'!BJ51=1,"ش‌",""),IF('اسفند 402'!BK51=1,"ش'‌",""), IF('اسفند 402'!BJ49="*","",""), IF('اسفند 402'!BJ49="@","*",""))</f>
        <v>ش‌</v>
      </c>
      <c r="BK45" s="92"/>
      <c r="BL45" s="92" t="str">
        <f>CONCATENATE( IF('اسفند 402'!BL49=1,"ص‌‌",""),IF('اسفند 402'!BM49=1,"ص‌'",""),IF('اسفند 402'!BL50=1,"ع‌",""),IF('اسفند 402'!BM50=1,"ع‌",""),IF('اسفند 402'!BL51=1,"ش‌",""),IF('اسفند 402'!BM51=1,"ش'‌",""), IF('اسفند 402'!BL49="*","",""), IF('اسفند 402'!BL49="@","*",""))</f>
        <v>*</v>
      </c>
      <c r="BM45" s="92"/>
      <c r="BN45" s="93" t="str">
        <f>CONCATENATE( IF('اسفند 402'!BN49=1,"ص‌‌",""),IF('اسفند 402'!BO49=1,"ص‌'",""),IF('اسفند 402'!BN50=1,"ع‌",""),IF('اسفند 402'!BO50=1,"ع‌",""),IF('اسفند 402'!BN51=1,"ش‌",""),IF('اسفند 402'!BO51=1,"ش'‌",""), IF('اسفند 402'!BN49="*","",""), IF('اسفند 402'!BN49="@","*",""))</f>
        <v/>
      </c>
      <c r="BO45" s="93"/>
      <c r="BP45" s="83">
        <f>'اسفند 402'!C50</f>
        <v>24</v>
      </c>
    </row>
    <row r="46" spans="1:68" s="33" customFormat="1" ht="6" customHeight="1" x14ac:dyDescent="0.25">
      <c r="A46" s="88"/>
      <c r="B46" s="86"/>
      <c r="C46" s="83"/>
      <c r="D46" s="112"/>
      <c r="E46" s="83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3"/>
      <c r="AM46" s="93"/>
      <c r="AN46" s="92"/>
      <c r="AO46" s="92"/>
      <c r="AP46" s="92"/>
      <c r="AQ46" s="92"/>
      <c r="AR46" s="92"/>
      <c r="AS46" s="92"/>
      <c r="AT46" s="92"/>
      <c r="AU46" s="92"/>
      <c r="AV46" s="93"/>
      <c r="AW46" s="93"/>
      <c r="AX46" s="93"/>
      <c r="AY46" s="93"/>
      <c r="AZ46" s="93"/>
      <c r="BA46" s="93"/>
      <c r="BB46" s="92"/>
      <c r="BC46" s="92"/>
      <c r="BD46" s="92"/>
      <c r="BE46" s="92"/>
      <c r="BF46" s="92"/>
      <c r="BG46" s="92"/>
      <c r="BH46" s="92"/>
      <c r="BI46" s="92"/>
      <c r="BJ46" s="92"/>
      <c r="BK46" s="92"/>
      <c r="BL46" s="92"/>
      <c r="BM46" s="92"/>
      <c r="BN46" s="93"/>
      <c r="BO46" s="93"/>
      <c r="BP46" s="83"/>
    </row>
    <row r="47" spans="1:68" s="33" customFormat="1" ht="6" customHeight="1" x14ac:dyDescent="0.25">
      <c r="A47" s="88"/>
      <c r="B47" s="87"/>
      <c r="C47" s="83"/>
      <c r="D47" s="112"/>
      <c r="E47" s="83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3"/>
      <c r="AM47" s="93"/>
      <c r="AN47" s="92"/>
      <c r="AO47" s="92"/>
      <c r="AP47" s="92"/>
      <c r="AQ47" s="92"/>
      <c r="AR47" s="92"/>
      <c r="AS47" s="92"/>
      <c r="AT47" s="92"/>
      <c r="AU47" s="92"/>
      <c r="AV47" s="93"/>
      <c r="AW47" s="93"/>
      <c r="AX47" s="93"/>
      <c r="AY47" s="93"/>
      <c r="AZ47" s="93"/>
      <c r="BA47" s="93"/>
      <c r="BB47" s="92"/>
      <c r="BC47" s="92"/>
      <c r="BD47" s="92"/>
      <c r="BE47" s="92"/>
      <c r="BF47" s="92"/>
      <c r="BG47" s="92"/>
      <c r="BH47" s="92"/>
      <c r="BI47" s="92"/>
      <c r="BJ47" s="92"/>
      <c r="BK47" s="92"/>
      <c r="BL47" s="92"/>
      <c r="BM47" s="92"/>
      <c r="BN47" s="93"/>
      <c r="BO47" s="93"/>
      <c r="BP47" s="83"/>
    </row>
    <row r="48" spans="1:68" s="33" customFormat="1" ht="6" customHeight="1" x14ac:dyDescent="0.25">
      <c r="A48" s="88"/>
      <c r="B48" s="85">
        <v>16</v>
      </c>
      <c r="C48" s="83" t="str">
        <f>'اسفند 402'!B52</f>
        <v>x15</v>
      </c>
      <c r="D48" s="112" t="s">
        <v>31</v>
      </c>
      <c r="E48" s="83">
        <v>4.5999999999999996</v>
      </c>
      <c r="F48" s="92" t="str">
        <f>CONCATENATE( IF('اسفند 402'!F52=1,"ص‌‌",""),IF('اسفند 402'!G52=1,"ص‌'",""),IF('اسفند 402'!F53=1,"ع‌",""),IF('اسفند 402'!G53=1,"ع‌",""),IF('اسفند 402'!F54=1,"ش‌",""),IF('اسفند 402'!G54=1,"ش'‌",""), IF('اسفند 402'!F52="*","",""), IF('اسفند 402'!F52="@","*",""))</f>
        <v>ع‌</v>
      </c>
      <c r="G48" s="92"/>
      <c r="H48" s="92" t="str">
        <f>CONCATENATE( IF('اسفند 402'!H52=1,"ص‌‌",""),IF('اسفند 402'!I52=1,"ص‌'",""),IF('اسفند 402'!H53=1,"ع‌",""),IF('اسفند 402'!I53=1,"ع‌",""),IF('اسفند 402'!H54=1,"ش‌",""),IF('اسفند 402'!I54=1,"ش'‌",""), IF('اسفند 402'!H52="*","",""), IF('اسفند 402'!H52="@","*",""))</f>
        <v/>
      </c>
      <c r="I48" s="92"/>
      <c r="J48" s="92" t="str">
        <f>CONCATENATE( IF('اسفند 402'!J52=1,"ص‌‌",""),IF('اسفند 402'!K52=1,"ص‌'",""),IF('اسفند 402'!J53=1,"ع‌",""),IF('اسفند 402'!K53=1,"ع‌",""),IF('اسفند 402'!J54=1,"ش‌",""),IF('اسفند 402'!K54=1,"ش'‌",""), IF('اسفند 402'!J52="*","",""), IF('اسفند 402'!J52="@","*",""))</f>
        <v>ع‌</v>
      </c>
      <c r="K48" s="92"/>
      <c r="L48" s="92" t="str">
        <f>CONCATENATE( IF('اسفند 402'!L52=1,"ص‌‌",""),IF('اسفند 402'!M52=1,"ص‌'",""),IF('اسفند 402'!L53=1,"ع‌",""),IF('اسفند 402'!M53=1,"ع‌",""),IF('اسفند 402'!L54=1,"ش‌",""),IF('اسفند 402'!M54=1,"ش'‌",""), IF('اسفند 402'!L52="*","",""), IF('اسفند 402'!L52="@","*",""))</f>
        <v>ص‌‌</v>
      </c>
      <c r="M48" s="92"/>
      <c r="N48" s="92" t="str">
        <f>CONCATENATE( IF('اسفند 402'!N52=1,"ص‌‌",""),IF('اسفند 402'!O52=1,"ص‌'",""),IF('اسفند 402'!N53=1,"ع‌",""),IF('اسفند 402'!O53=1,"ع‌",""),IF('اسفند 402'!N54=1,"ش‌",""),IF('اسفند 402'!O54=1,"ش'‌",""), IF('اسفند 402'!N52="*","",""), IF('اسفند 402'!N52="@","*",""))</f>
        <v>ع‌</v>
      </c>
      <c r="O48" s="92"/>
      <c r="P48" s="92" t="str">
        <f>CONCATENATE( IF('اسفند 402'!P52=1,"ص‌‌",""),IF('اسفند 402'!Q52=1,"ص‌'",""),IF('اسفند 402'!P53=1,"ع‌",""),IF('اسفند 402'!Q53=1,"ع‌",""),IF('اسفند 402'!P54=1,"ش‌",""),IF('اسفند 402'!Q54=1,"ش'‌",""), IF('اسفند 402'!P52="*","",""), IF('اسفند 402'!P52="@","*",""))</f>
        <v>ع‌</v>
      </c>
      <c r="Q48" s="92"/>
      <c r="R48" s="92" t="str">
        <f>CONCATENATE( IF('اسفند 402'!R52=1,"ص‌‌",""),IF('اسفند 402'!S52=1,"ص‌'",""),IF('اسفند 402'!R53=1,"ع‌",""),IF('اسفند 402'!S53=1,"ع‌",""),IF('اسفند 402'!R54=1,"ش‌",""),IF('اسفند 402'!S54=1,"ش'‌",""), IF('اسفند 402'!R52="*","",""), IF('اسفند 402'!R52="@","*",""))</f>
        <v/>
      </c>
      <c r="S48" s="92"/>
      <c r="T48" s="92" t="str">
        <f>CONCATENATE( IF('اسفند 402'!T52=1,"ص‌‌",""),IF('اسفند 402'!U52=1,"ص‌'",""),IF('اسفند 402'!T53=1,"ع‌",""),IF('اسفند 402'!U53=1,"ع‌",""),IF('اسفند 402'!T54=1,"ش‌",""),IF('اسفند 402'!U54=1,"ش'‌",""), IF('اسفند 402'!T52="*","",""), IF('اسفند 402'!T52="@","*",""))</f>
        <v>ع‌</v>
      </c>
      <c r="U48" s="92"/>
      <c r="V48" s="92" t="str">
        <f>CONCATENATE( IF('اسفند 402'!V52=1,"ص‌‌",""),IF('اسفند 402'!W52=1,"ص‌'",""),IF('اسفند 402'!V53=1,"ع‌",""),IF('اسفند 402'!W53=1,"ع‌",""),IF('اسفند 402'!V54=1,"ش‌",""),IF('اسفند 402'!W54=1,"ش'‌",""), IF('اسفند 402'!V52="*","",""), IF('اسفند 402'!V52="@","*",""))</f>
        <v>ع‌</v>
      </c>
      <c r="W48" s="92"/>
      <c r="X48" s="92" t="str">
        <f>CONCATENATE( IF('اسفند 402'!X52=1,"ص‌‌",""),IF('اسفند 402'!Y52=1,"ص‌'",""),IF('اسفند 402'!X53=1,"ع‌",""),IF('اسفند 402'!Y53=1,"ع‌",""),IF('اسفند 402'!X54=1,"ش‌",""),IF('اسفند 402'!Y54=1,"ش'‌",""), IF('اسفند 402'!X52="*","",""), IF('اسفند 402'!X52="@","*",""))</f>
        <v>ع‌</v>
      </c>
      <c r="Y48" s="92"/>
      <c r="Z48" s="92" t="str">
        <f>CONCATENATE( IF('اسفند 402'!Z52=1,"ص‌‌",""),IF('اسفند 402'!AA52=1,"ص‌'",""),IF('اسفند 402'!Z53=1,"ع‌",""),IF('اسفند 402'!AA53=1,"ع‌",""),IF('اسفند 402'!Z54=1,"ش‌",""),IF('اسفند 402'!AA54=1,"ش'‌",""), IF('اسفند 402'!Z52="*","",""), IF('اسفند 402'!Z52="@","*",""))</f>
        <v>ع‌</v>
      </c>
      <c r="AA48" s="92"/>
      <c r="AB48" s="92" t="str">
        <f>CONCATENATE( IF('اسفند 402'!AB52=1,"ص‌‌",""),IF('اسفند 402'!AC52=1,"ص‌'",""),IF('اسفند 402'!AB53=1,"ع‌",""),IF('اسفند 402'!AC53=1,"ع‌",""),IF('اسفند 402'!AB54=1,"ش‌",""),IF('اسفند 402'!AC54=1,"ش'‌",""), IF('اسفند 402'!AB52="*","",""), IF('اسفند 402'!AB52="@","*",""))</f>
        <v>ع‌</v>
      </c>
      <c r="AC48" s="92"/>
      <c r="AD48" s="92" t="str">
        <f>CONCATENATE( IF('اسفند 402'!AD52=1,"ص‌‌",""),IF('اسفند 402'!AE52=1,"ص‌'",""),IF('اسفند 402'!AD53=1,"ع‌",""),IF('اسفند 402'!AE53=1,"ع‌",""),IF('اسفند 402'!AD54=1,"ش‌",""),IF('اسفند 402'!AE54=1,"ش'‌",""), IF('اسفند 402'!AD52="*","",""), IF('اسفند 402'!AD52="@","*",""))</f>
        <v>ع‌</v>
      </c>
      <c r="AE48" s="92"/>
      <c r="AF48" s="92" t="str">
        <f>CONCATENATE( IF('اسفند 402'!AF52=1,"ص‌‌",""),IF('اسفند 402'!AG52=1,"ص‌'",""),IF('اسفند 402'!AF53=1,"ع‌",""),IF('اسفند 402'!AG53=1,"ع‌",""),IF('اسفند 402'!AF54=1,"ش‌",""),IF('اسفند 402'!AG54=1,"ش'‌",""), IF('اسفند 402'!AF52="*","",""), IF('اسفند 402'!AF52="@","*",""))</f>
        <v>ع‌</v>
      </c>
      <c r="AG48" s="92"/>
      <c r="AH48" s="92" t="str">
        <f>CONCATENATE( IF('اسفند 402'!AH52=1,"ص‌‌",""),IF('اسفند 402'!AI52=1,"ص‌'",""),IF('اسفند 402'!AH53=1,"ع‌",""),IF('اسفند 402'!AI53=1,"ع‌",""),IF('اسفند 402'!AH54=1,"ش‌",""),IF('اسفند 402'!AI54=1,"ش'‌",""), IF('اسفند 402'!AH52="*","",""), IF('اسفند 402'!AH52="@","*",""))</f>
        <v/>
      </c>
      <c r="AI48" s="92"/>
      <c r="AJ48" s="92" t="str">
        <f>CONCATENATE( IF('اسفند 402'!AJ52=1,"ص‌‌",""),IF('اسفند 402'!AK52=1,"ص‌'",""),IF('اسفند 402'!AJ53=1,"ع‌",""),IF('اسفند 402'!AK53=1,"ع‌",""),IF('اسفند 402'!AJ54=1,"ش‌",""),IF('اسفند 402'!AK54=1,"ش'‌",""), IF('اسفند 402'!AJ52="*","",""), IF('اسفند 402'!AJ52="@","*",""))</f>
        <v>ع‌</v>
      </c>
      <c r="AK48" s="92"/>
      <c r="AL48" s="93" t="str">
        <f>CONCATENATE( IF('اسفند 402'!AL52=1,"ص‌‌",""),IF('اسفند 402'!AM52=1,"ص‌'",""),IF('اسفند 402'!AL53=1,"ع‌",""),IF('اسفند 402'!AM53=1,"ع‌",""),IF('اسفند 402'!AL54=1,"ش‌",""),IF('اسفند 402'!AM54=1,"ش'‌",""), IF('اسفند 402'!AL52="*","",""), IF('اسفند 402'!AL52="@","*",""))</f>
        <v/>
      </c>
      <c r="AM48" s="93"/>
      <c r="AN48" s="92" t="str">
        <f>CONCATENATE( IF('اسفند 402'!AN52=1,"ص‌‌",""),IF('اسفند 402'!AO52=1,"ص‌'",""),IF('اسفند 402'!AN53=1,"ع‌",""),IF('اسفند 402'!AO53=1,"ع‌",""),IF('اسفند 402'!AN54=1,"ش‌",""),IF('اسفند 402'!AO54=1,"ش'‌",""), IF('اسفند 402'!AN52="*","",""), IF('اسفند 402'!AN52="@","*",""))</f>
        <v>ع‌</v>
      </c>
      <c r="AO48" s="92"/>
      <c r="AP48" s="92" t="str">
        <f>CONCATENATE( IF('اسفند 402'!AP52=1,"ص‌‌",""),IF('اسفند 402'!AQ52=1,"ص‌'",""),IF('اسفند 402'!AP53=1,"ع‌",""),IF('اسفند 402'!AQ53=1,"ع‌",""),IF('اسفند 402'!AP54=1,"ش‌",""),IF('اسفند 402'!AQ54=1,"ش'‌",""), IF('اسفند 402'!AP52="*","",""), IF('اسفند 402'!AP52="@","*",""))</f>
        <v>ع‌</v>
      </c>
      <c r="AQ48" s="92"/>
      <c r="AR48" s="92" t="str">
        <f>CONCATENATE( IF('اسفند 402'!AR52=1,"ص‌‌",""),IF('اسفند 402'!AS52=1,"ص‌'",""),IF('اسفند 402'!AR53=1,"ع‌",""),IF('اسفند 402'!AS53=1,"ع‌",""),IF('اسفند 402'!AR54=1,"ش‌",""),IF('اسفند 402'!AS54=1,"ش'‌",""), IF('اسفند 402'!AR52="*","",""), IF('اسفند 402'!AR52="@","*",""))</f>
        <v>ع‌</v>
      </c>
      <c r="AS48" s="92"/>
      <c r="AT48" s="92" t="str">
        <f>CONCATENATE( IF('اسفند 402'!AT52=1,"ص‌‌",""),IF('اسفند 402'!AU52=1,"ص‌'",""),IF('اسفند 402'!AT53=1,"ع‌",""),IF('اسفند 402'!AU53=1,"ع‌",""),IF('اسفند 402'!AT54=1,"ش‌",""),IF('اسفند 402'!AU54=1,"ش'‌",""), IF('اسفند 402'!AT52="*","",""), IF('اسفند 402'!AT52="@","*",""))</f>
        <v/>
      </c>
      <c r="AU48" s="92"/>
      <c r="AV48" s="93" t="str">
        <f>CONCATENATE( IF('اسفند 402'!AV52=1,"ص‌‌",""),IF('اسفند 402'!AW52=1,"ص‌'",""),IF('اسفند 402'!AV53=1,"ع‌",""),IF('اسفند 402'!AW53=1,"ع‌",""),IF('اسفند 402'!AV54=1,"ش‌",""),IF('اسفند 402'!AW54=1,"ش'‌",""), IF('اسفند 402'!AV52="*","",""), IF('اسفند 402'!AV52="@","*",""))</f>
        <v>ع‌</v>
      </c>
      <c r="AW48" s="93"/>
      <c r="AX48" s="93" t="str">
        <f>CONCATENATE( IF('اسفند 402'!AX52=1,"ص‌‌",""),IF('اسفند 402'!AY52=1,"ص‌'",""),IF('اسفند 402'!AX53=1,"ع‌",""),IF('اسفند 402'!AY53=1,"ع‌",""),IF('اسفند 402'!AX54=1,"ش‌",""),IF('اسفند 402'!AY54=1,"ش'‌",""), IF('اسفند 402'!AX52="*","",""), IF('اسفند 402'!AX52="@","*",""))</f>
        <v>ع‌</v>
      </c>
      <c r="AY48" s="93"/>
      <c r="AZ48" s="93" t="str">
        <f>CONCATENATE( IF('اسفند 402'!AZ52=1,"ص‌‌",""),IF('اسفند 402'!BA52=1,"ص‌'",""),IF('اسفند 402'!AZ53=1,"ع‌",""),IF('اسفند 402'!BA53=1,"ع‌",""),IF('اسفند 402'!AZ54=1,"ش‌",""),IF('اسفند 402'!BA54=1,"ش'‌",""), IF('اسفند 402'!AZ52="*","",""), IF('اسفند 402'!AZ52="@","*",""))</f>
        <v/>
      </c>
      <c r="BA48" s="93"/>
      <c r="BB48" s="92" t="str">
        <f>CONCATENATE( IF('اسفند 402'!BB52=1,"ص‌‌",""),IF('اسفند 402'!BC52=1,"ص‌'",""),IF('اسفند 402'!BB53=1,"ع‌",""),IF('اسفند 402'!BC53=1,"ع‌",""),IF('اسفند 402'!BB54=1,"ش‌",""),IF('اسفند 402'!BC54=1,"ش'‌",""), IF('اسفند 402'!BB52="*","",""), IF('اسفند 402'!BB52="@","*",""))</f>
        <v>ع‌</v>
      </c>
      <c r="BC48" s="92"/>
      <c r="BD48" s="92" t="str">
        <f>CONCATENATE( IF('اسفند 402'!BD52=1,"ص‌‌",""),IF('اسفند 402'!BE52=1,"ص‌'",""),IF('اسفند 402'!BD53=1,"ع‌",""),IF('اسفند 402'!BE53=1,"ع‌",""),IF('اسفند 402'!BD54=1,"ش‌",""),IF('اسفند 402'!BE54=1,"ش'‌",""), IF('اسفند 402'!BD52="*","",""), IF('اسفند 402'!BD52="@","*",""))</f>
        <v>ع‌</v>
      </c>
      <c r="BE48" s="92"/>
      <c r="BF48" s="92" t="str">
        <f>CONCATENATE( IF('اسفند 402'!BF52=1,"ص‌‌",""),IF('اسفند 402'!BG52=1,"ص‌'",""),IF('اسفند 402'!BF53=1,"ع‌",""),IF('اسفند 402'!BG53=1,"ع‌",""),IF('اسفند 402'!BF54=1,"ش‌",""),IF('اسفند 402'!BG54=1,"ش'‌",""), IF('اسفند 402'!BF52="*","",""), IF('اسفند 402'!BF52="@","*",""))</f>
        <v/>
      </c>
      <c r="BG48" s="92"/>
      <c r="BH48" s="92" t="str">
        <f>CONCATENATE( IF('اسفند 402'!BH52=1,"ص‌‌",""),IF('اسفند 402'!BI52=1,"ص‌'",""),IF('اسفند 402'!BH53=1,"ع‌",""),IF('اسفند 402'!BI53=1,"ع‌",""),IF('اسفند 402'!BH54=1,"ش‌",""),IF('اسفند 402'!BI54=1,"ش'‌",""), IF('اسفند 402'!BH52="*","",""), IF('اسفند 402'!BH52="@","*",""))</f>
        <v>ع‌</v>
      </c>
      <c r="BI48" s="92"/>
      <c r="BJ48" s="92" t="str">
        <f>CONCATENATE( IF('اسفند 402'!BJ52=1,"ص‌‌",""),IF('اسفند 402'!BK52=1,"ص‌'",""),IF('اسفند 402'!BJ53=1,"ع‌",""),IF('اسفند 402'!BK53=1,"ع‌",""),IF('اسفند 402'!BJ54=1,"ش‌",""),IF('اسفند 402'!BK54=1,"ش'‌",""), IF('اسفند 402'!BJ52="*","",""), IF('اسفند 402'!BJ52="@","*",""))</f>
        <v>ع‌</v>
      </c>
      <c r="BK48" s="92"/>
      <c r="BL48" s="92" t="str">
        <f>CONCATENATE( IF('اسفند 402'!BL52=1,"ص‌‌",""),IF('اسفند 402'!BM52=1,"ص‌'",""),IF('اسفند 402'!BL53=1,"ع‌",""),IF('اسفند 402'!BM53=1,"ع‌",""),IF('اسفند 402'!BL54=1,"ش‌",""),IF('اسفند 402'!BM54=1,"ش'‌",""), IF('اسفند 402'!BL52="*","",""), IF('اسفند 402'!BL52="@","*",""))</f>
        <v>ع‌</v>
      </c>
      <c r="BM48" s="92"/>
      <c r="BN48" s="93" t="str">
        <f>CONCATENATE( IF('اسفند 402'!BN52=1,"ص‌‌",""),IF('اسفند 402'!BO52=1,"ص‌'",""),IF('اسفند 402'!BN53=1,"ع‌",""),IF('اسفند 402'!BO53=1,"ع‌",""),IF('اسفند 402'!BN54=1,"ش‌",""),IF('اسفند 402'!BO54=1,"ش'‌",""), IF('اسفند 402'!BN52="*","",""), IF('اسفند 402'!BN52="@","*",""))</f>
        <v>ص‌‌</v>
      </c>
      <c r="BO48" s="93"/>
      <c r="BP48" s="83">
        <f>'اسفند 402'!C53</f>
        <v>24</v>
      </c>
    </row>
    <row r="49" spans="1:68" s="33" customFormat="1" ht="6" customHeight="1" x14ac:dyDescent="0.25">
      <c r="A49" s="88"/>
      <c r="B49" s="86"/>
      <c r="C49" s="83"/>
      <c r="D49" s="112"/>
      <c r="E49" s="83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3"/>
      <c r="AM49" s="93"/>
      <c r="AN49" s="92"/>
      <c r="AO49" s="92"/>
      <c r="AP49" s="92"/>
      <c r="AQ49" s="92"/>
      <c r="AR49" s="92"/>
      <c r="AS49" s="92"/>
      <c r="AT49" s="92"/>
      <c r="AU49" s="92"/>
      <c r="AV49" s="93"/>
      <c r="AW49" s="93"/>
      <c r="AX49" s="93"/>
      <c r="AY49" s="93"/>
      <c r="AZ49" s="93"/>
      <c r="BA49" s="93"/>
      <c r="BB49" s="92"/>
      <c r="BC49" s="92"/>
      <c r="BD49" s="92"/>
      <c r="BE49" s="92"/>
      <c r="BF49" s="92"/>
      <c r="BG49" s="92"/>
      <c r="BH49" s="92"/>
      <c r="BI49" s="92"/>
      <c r="BJ49" s="92"/>
      <c r="BK49" s="92"/>
      <c r="BL49" s="92"/>
      <c r="BM49" s="92"/>
      <c r="BN49" s="93"/>
      <c r="BO49" s="93"/>
      <c r="BP49" s="83"/>
    </row>
    <row r="50" spans="1:68" s="33" customFormat="1" ht="6" customHeight="1" x14ac:dyDescent="0.25">
      <c r="A50" s="88"/>
      <c r="B50" s="87"/>
      <c r="C50" s="83"/>
      <c r="D50" s="112"/>
      <c r="E50" s="83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3"/>
      <c r="AM50" s="93"/>
      <c r="AN50" s="92"/>
      <c r="AO50" s="92"/>
      <c r="AP50" s="92"/>
      <c r="AQ50" s="92"/>
      <c r="AR50" s="92"/>
      <c r="AS50" s="92"/>
      <c r="AT50" s="92"/>
      <c r="AU50" s="92"/>
      <c r="AV50" s="93"/>
      <c r="AW50" s="93"/>
      <c r="AX50" s="93"/>
      <c r="AY50" s="93"/>
      <c r="AZ50" s="93"/>
      <c r="BA50" s="93"/>
      <c r="BB50" s="92"/>
      <c r="BC50" s="92"/>
      <c r="BD50" s="92"/>
      <c r="BE50" s="92"/>
      <c r="BF50" s="92"/>
      <c r="BG50" s="92"/>
      <c r="BH50" s="92"/>
      <c r="BI50" s="92"/>
      <c r="BJ50" s="92"/>
      <c r="BK50" s="92"/>
      <c r="BL50" s="92"/>
      <c r="BM50" s="92"/>
      <c r="BN50" s="93"/>
      <c r="BO50" s="93"/>
      <c r="BP50" s="83"/>
    </row>
    <row r="51" spans="1:68" s="33" customFormat="1" ht="6" customHeight="1" x14ac:dyDescent="0.25">
      <c r="A51" s="88"/>
      <c r="B51" s="85">
        <v>17</v>
      </c>
      <c r="C51" s="83" t="str">
        <f>'اسفند 402'!B55</f>
        <v>x16</v>
      </c>
      <c r="D51" s="112" t="s">
        <v>31</v>
      </c>
      <c r="E51" s="83">
        <v>3.5</v>
      </c>
      <c r="F51" s="92" t="str">
        <f>CONCATENATE( IF('اسفند 402'!F55=1,"ص‌‌",""),IF('اسفند 402'!G55=1,"ص‌'",""),IF('اسفند 402'!F56=1,"ع‌",""),IF('اسفند 402'!G56=1,"ع‌",""),IF('اسفند 402'!F57=1,"ش‌",""),IF('اسفند 402'!G57=1,"ش'‌",""), IF('اسفند 402'!F55="*","",""), IF('اسفند 402'!F55="@","*",""))</f>
        <v/>
      </c>
      <c r="G51" s="92"/>
      <c r="H51" s="92" t="str">
        <f>CONCATENATE( IF('اسفند 402'!H55=1,"ص‌‌",""),IF('اسفند 402'!I55=1,"ص‌'",""),IF('اسفند 402'!H56=1,"ع‌",""),IF('اسفند 402'!I56=1,"ع‌",""),IF('اسفند 402'!H57=1,"ش‌",""),IF('اسفند 402'!I57=1,"ش'‌",""), IF('اسفند 402'!H55="*","",""), IF('اسفند 402'!H55="@","*",""))</f>
        <v/>
      </c>
      <c r="I51" s="92"/>
      <c r="J51" s="92" t="str">
        <f>CONCATENATE( IF('اسفند 402'!J55=1,"ص‌‌",""),IF('اسفند 402'!K55=1,"ص‌'",""),IF('اسفند 402'!J56=1,"ع‌",""),IF('اسفند 402'!K56=1,"ع‌",""),IF('اسفند 402'!J57=1,"ش‌",""),IF('اسفند 402'!K57=1,"ش'‌",""), IF('اسفند 402'!J55="*","",""), IF('اسفند 402'!J55="@","*",""))</f>
        <v/>
      </c>
      <c r="K51" s="92"/>
      <c r="L51" s="92" t="str">
        <f>CONCATENATE( IF('اسفند 402'!L55=1,"ص‌‌",""),IF('اسفند 402'!M55=1,"ص‌'",""),IF('اسفند 402'!L56=1,"ع‌",""),IF('اسفند 402'!M56=1,"ع‌",""),IF('اسفند 402'!L57=1,"ش‌",""),IF('اسفند 402'!M57=1,"ش'‌",""), IF('اسفند 402'!L55="*","",""), IF('اسفند 402'!L55="@","*",""))</f>
        <v/>
      </c>
      <c r="M51" s="92"/>
      <c r="N51" s="92" t="str">
        <f>CONCATENATE( IF('اسفند 402'!N55=1,"ص‌‌",""),IF('اسفند 402'!O55=1,"ص‌'",""),IF('اسفند 402'!N56=1,"ع‌",""),IF('اسفند 402'!O56=1,"ع‌",""),IF('اسفند 402'!N57=1,"ش‌",""),IF('اسفند 402'!O57=1,"ش'‌",""), IF('اسفند 402'!N55="*","",""), IF('اسفند 402'!N55="@","*",""))</f>
        <v/>
      </c>
      <c r="O51" s="92"/>
      <c r="P51" s="92" t="str">
        <f>CONCATENATE( IF('اسفند 402'!P55=1,"ص‌‌",""),IF('اسفند 402'!Q55=1,"ص‌'",""),IF('اسفند 402'!P56=1,"ع‌",""),IF('اسفند 402'!Q56=1,"ع‌",""),IF('اسفند 402'!P57=1,"ش‌",""),IF('اسفند 402'!Q57=1,"ش'‌",""), IF('اسفند 402'!P55="*","",""), IF('اسفند 402'!P55="@","*",""))</f>
        <v/>
      </c>
      <c r="Q51" s="92"/>
      <c r="R51" s="92" t="str">
        <f>CONCATENATE( IF('اسفند 402'!R55=1,"ص‌‌",""),IF('اسفند 402'!S55=1,"ص‌'",""),IF('اسفند 402'!R56=1,"ع‌",""),IF('اسفند 402'!S56=1,"ع‌",""),IF('اسفند 402'!R57=1,"ش‌",""),IF('اسفند 402'!S57=1,"ش'‌",""), IF('اسفند 402'!R55="*","",""), IF('اسفند 402'!R55="@","*",""))</f>
        <v>ع‌</v>
      </c>
      <c r="S51" s="92"/>
      <c r="T51" s="92" t="str">
        <f>CONCATENATE( IF('اسفند 402'!T55=1,"ص‌‌",""),IF('اسفند 402'!U55=1,"ص‌'",""),IF('اسفند 402'!T56=1,"ع‌",""),IF('اسفند 402'!U56=1,"ع‌",""),IF('اسفند 402'!T57=1,"ش‌",""),IF('اسفند 402'!U57=1,"ش'‌",""), IF('اسفند 402'!T55="*","",""), IF('اسفند 402'!T55="@","*",""))</f>
        <v>ص‌‌ع‌</v>
      </c>
      <c r="U51" s="92"/>
      <c r="V51" s="92" t="str">
        <f>CONCATENATE( IF('اسفند 402'!V55=1,"ص‌‌",""),IF('اسفند 402'!W55=1,"ص‌'",""),IF('اسفند 402'!V56=1,"ع‌",""),IF('اسفند 402'!W56=1,"ع‌",""),IF('اسفند 402'!V57=1,"ش‌",""),IF('اسفند 402'!W57=1,"ش'‌",""), IF('اسفند 402'!V55="*","",""), IF('اسفند 402'!V55="@","*",""))</f>
        <v>ص‌‌ش‌</v>
      </c>
      <c r="W51" s="92"/>
      <c r="X51" s="92" t="str">
        <f>CONCATENATE( IF('اسفند 402'!X55=1,"ص‌‌",""),IF('اسفند 402'!Y55=1,"ص‌'",""),IF('اسفند 402'!X56=1,"ع‌",""),IF('اسفند 402'!Y56=1,"ع‌",""),IF('اسفند 402'!X57=1,"ش‌",""),IF('اسفند 402'!Y57=1,"ش'‌",""), IF('اسفند 402'!X55="*","",""), IF('اسفند 402'!X55="@","*",""))</f>
        <v/>
      </c>
      <c r="Y51" s="92"/>
      <c r="Z51" s="92" t="str">
        <f>CONCATENATE( IF('اسفند 402'!Z55=1,"ص‌‌",""),IF('اسفند 402'!AA55=1,"ص‌'",""),IF('اسفند 402'!Z56=1,"ع‌",""),IF('اسفند 402'!AA56=1,"ع‌",""),IF('اسفند 402'!Z57=1,"ش‌",""),IF('اسفند 402'!AA57=1,"ش'‌",""), IF('اسفند 402'!Z55="*","",""), IF('اسفند 402'!Z55="@","*",""))</f>
        <v>ص‌‌ع‌</v>
      </c>
      <c r="AA51" s="92"/>
      <c r="AB51" s="92" t="str">
        <f>CONCATENATE( IF('اسفند 402'!AB55=1,"ص‌‌",""),IF('اسفند 402'!AC55=1,"ص‌'",""),IF('اسفند 402'!AB56=1,"ع‌",""),IF('اسفند 402'!AC56=1,"ع‌",""),IF('اسفند 402'!AB57=1,"ش‌",""),IF('اسفند 402'!AC57=1,"ش'‌",""), IF('اسفند 402'!AB55="*","",""), IF('اسفند 402'!AB55="@","*",""))</f>
        <v>ص‌‌ش‌</v>
      </c>
      <c r="AC51" s="92"/>
      <c r="AD51" s="92" t="str">
        <f>CONCATENATE( IF('اسفند 402'!AD55=1,"ص‌‌",""),IF('اسفند 402'!AE55=1,"ص‌'",""),IF('اسفند 402'!AD56=1,"ع‌",""),IF('اسفند 402'!AE56=1,"ع‌",""),IF('اسفند 402'!AD57=1,"ش‌",""),IF('اسفند 402'!AE57=1,"ش'‌",""), IF('اسفند 402'!AD55="*","",""), IF('اسفند 402'!AD55="@","*",""))</f>
        <v/>
      </c>
      <c r="AE51" s="92"/>
      <c r="AF51" s="92" t="str">
        <f>CONCATENATE( IF('اسفند 402'!AF55=1,"ص‌‌",""),IF('اسفند 402'!AG55=1,"ص‌'",""),IF('اسفند 402'!AF56=1,"ع‌",""),IF('اسفند 402'!AG56=1,"ع‌",""),IF('اسفند 402'!AF57=1,"ش‌",""),IF('اسفند 402'!AG57=1,"ش'‌",""), IF('اسفند 402'!AF55="*","",""), IF('اسفند 402'!AF55="@","*",""))</f>
        <v>ص‌‌</v>
      </c>
      <c r="AG51" s="92"/>
      <c r="AH51" s="92" t="str">
        <f>CONCATENATE( IF('اسفند 402'!AH55=1,"ص‌‌",""),IF('اسفند 402'!AI55=1,"ص‌'",""),IF('اسفند 402'!AH56=1,"ع‌",""),IF('اسفند 402'!AI56=1,"ع‌",""),IF('اسفند 402'!AH57=1,"ش‌",""),IF('اسفند 402'!AI57=1,"ش'‌",""), IF('اسفند 402'!AH55="*","",""), IF('اسفند 402'!AH55="@","*",""))</f>
        <v/>
      </c>
      <c r="AI51" s="92"/>
      <c r="AJ51" s="92" t="str">
        <f>CONCATENATE( IF('اسفند 402'!AJ55=1,"ص‌‌",""),IF('اسفند 402'!AK55=1,"ص‌'",""),IF('اسفند 402'!AJ56=1,"ع‌",""),IF('اسفند 402'!AK56=1,"ع‌",""),IF('اسفند 402'!AJ57=1,"ش‌",""),IF('اسفند 402'!AK57=1,"ش'‌",""), IF('اسفند 402'!AJ55="*","",""), IF('اسفند 402'!AJ55="@","*",""))</f>
        <v/>
      </c>
      <c r="AK51" s="92"/>
      <c r="AL51" s="93" t="str">
        <f>CONCATENATE( IF('اسفند 402'!AL55=1,"ص‌‌",""),IF('اسفند 402'!AM55=1,"ص‌'",""),IF('اسفند 402'!AL56=1,"ع‌",""),IF('اسفند 402'!AM56=1,"ع‌",""),IF('اسفند 402'!AL57=1,"ش‌",""),IF('اسفند 402'!AM57=1,"ش'‌",""), IF('اسفند 402'!AL55="*","",""), IF('اسفند 402'!AL55="@","*",""))</f>
        <v>ش‌</v>
      </c>
      <c r="AM51" s="93"/>
      <c r="AN51" s="92" t="str">
        <f>CONCATENATE( IF('اسفند 402'!AN55=1,"ص‌‌",""),IF('اسفند 402'!AO55=1,"ص‌'",""),IF('اسفند 402'!AN56=1,"ع‌",""),IF('اسفند 402'!AO56=1,"ع‌",""),IF('اسفند 402'!AN57=1,"ش‌",""),IF('اسفند 402'!AO57=1,"ش'‌",""), IF('اسفند 402'!AN55="*","",""), IF('اسفند 402'!AN55="@","*",""))</f>
        <v/>
      </c>
      <c r="AO51" s="92"/>
      <c r="AP51" s="92" t="str">
        <f>CONCATENATE( IF('اسفند 402'!AP55=1,"ص‌‌",""),IF('اسفند 402'!AQ55=1,"ص‌'",""),IF('اسفند 402'!AP56=1,"ع‌",""),IF('اسفند 402'!AQ56=1,"ع‌",""),IF('اسفند 402'!AP57=1,"ش‌",""),IF('اسفند 402'!AQ57=1,"ش'‌",""), IF('اسفند 402'!AP55="*","",""), IF('اسفند 402'!AP55="@","*",""))</f>
        <v/>
      </c>
      <c r="AQ51" s="92"/>
      <c r="AR51" s="92" t="str">
        <f>CONCATENATE( IF('اسفند 402'!AR55=1,"ص‌‌",""),IF('اسفند 402'!AS55=1,"ص‌'",""),IF('اسفند 402'!AR56=1,"ع‌",""),IF('اسفند 402'!AS56=1,"ع‌",""),IF('اسفند 402'!AR57=1,"ش‌",""),IF('اسفند 402'!AS57=1,"ش'‌",""), IF('اسفند 402'!AR55="*","",""), IF('اسفند 402'!AR55="@","*",""))</f>
        <v>ص‌‌ش‌</v>
      </c>
      <c r="AS51" s="92"/>
      <c r="AT51" s="92" t="str">
        <f>CONCATENATE( IF('اسفند 402'!AT55=1,"ص‌‌",""),IF('اسفند 402'!AU55=1,"ص‌'",""),IF('اسفند 402'!AT56=1,"ع‌",""),IF('اسفند 402'!AU56=1,"ع‌",""),IF('اسفند 402'!AT57=1,"ش‌",""),IF('اسفند 402'!AU57=1,"ش'‌",""), IF('اسفند 402'!AT55="*","",""), IF('اسفند 402'!AT55="@","*",""))</f>
        <v/>
      </c>
      <c r="AU51" s="92"/>
      <c r="AV51" s="93" t="str">
        <f>CONCATENATE( IF('اسفند 402'!AV55=1,"ص‌‌",""),IF('اسفند 402'!AW55=1,"ص‌'",""),IF('اسفند 402'!AV56=1,"ع‌",""),IF('اسفند 402'!AW56=1,"ع‌",""),IF('اسفند 402'!AV57=1,"ش‌",""),IF('اسفند 402'!AW57=1,"ش'‌",""), IF('اسفند 402'!AV55="*","",""), IF('اسفند 402'!AV55="@","*",""))</f>
        <v>*</v>
      </c>
      <c r="AW51" s="93"/>
      <c r="AX51" s="93" t="str">
        <f>CONCATENATE( IF('اسفند 402'!AX55=1,"ص‌‌",""),IF('اسفند 402'!AY55=1,"ص‌'",""),IF('اسفند 402'!AX56=1,"ع‌",""),IF('اسفند 402'!AY56=1,"ع‌",""),IF('اسفند 402'!AX57=1,"ش‌",""),IF('اسفند 402'!AY57=1,"ش'‌",""), IF('اسفند 402'!AX55="*","",""), IF('اسفند 402'!AX55="@","*",""))</f>
        <v/>
      </c>
      <c r="AY51" s="93"/>
      <c r="AZ51" s="93" t="str">
        <f>CONCATENATE( IF('اسفند 402'!AZ55=1,"ص‌‌",""),IF('اسفند 402'!BA55=1,"ص‌'",""),IF('اسفند 402'!AZ56=1,"ع‌",""),IF('اسفند 402'!BA56=1,"ع‌",""),IF('اسفند 402'!AZ57=1,"ش‌",""),IF('اسفند 402'!BA57=1,"ش'‌",""), IF('اسفند 402'!AZ55="*","",""), IF('اسفند 402'!AZ55="@","*",""))</f>
        <v>ش‌</v>
      </c>
      <c r="BA51" s="93"/>
      <c r="BB51" s="92" t="str">
        <f>CONCATENATE( IF('اسفند 402'!BB55=1,"ص‌‌",""),IF('اسفند 402'!BC55=1,"ص‌'",""),IF('اسفند 402'!BB56=1,"ع‌",""),IF('اسفند 402'!BC56=1,"ع‌",""),IF('اسفند 402'!BB57=1,"ش‌",""),IF('اسفند 402'!BC57=1,"ش'‌",""), IF('اسفند 402'!BB55="*","",""), IF('اسفند 402'!BB55="@","*",""))</f>
        <v/>
      </c>
      <c r="BC51" s="92"/>
      <c r="BD51" s="92" t="str">
        <f>CONCATENATE( IF('اسفند 402'!BD55=1,"ص‌‌",""),IF('اسفند 402'!BE55=1,"ص‌'",""),IF('اسفند 402'!BD56=1,"ع‌",""),IF('اسفند 402'!BE56=1,"ع‌",""),IF('اسفند 402'!BD57=1,"ش‌",""),IF('اسفند 402'!BE57=1,"ش'‌",""), IF('اسفند 402'!BD55="*","",""), IF('اسفند 402'!BD55="@","*",""))</f>
        <v/>
      </c>
      <c r="BE51" s="92"/>
      <c r="BF51" s="92" t="str">
        <f>CONCATENATE( IF('اسفند 402'!BF55=1,"ص‌‌",""),IF('اسفند 402'!BG55=1,"ص‌'",""),IF('اسفند 402'!BF56=1,"ع‌",""),IF('اسفند 402'!BG56=1,"ع‌",""),IF('اسفند 402'!BF57=1,"ش‌",""),IF('اسفند 402'!BG57=1,"ش'‌",""), IF('اسفند 402'!BF55="*","",""), IF('اسفند 402'!BF55="@","*",""))</f>
        <v>ص‌‌ش‌</v>
      </c>
      <c r="BG51" s="92"/>
      <c r="BH51" s="92" t="str">
        <f>CONCATENATE( IF('اسفند 402'!BH55=1,"ص‌‌",""),IF('اسفند 402'!BI55=1,"ص‌'",""),IF('اسفند 402'!BH56=1,"ع‌",""),IF('اسفند 402'!BI56=1,"ع‌",""),IF('اسفند 402'!BH57=1,"ش‌",""),IF('اسفند 402'!BI57=1,"ش'‌",""), IF('اسفند 402'!BH55="*","",""), IF('اسفند 402'!BH55="@","*",""))</f>
        <v/>
      </c>
      <c r="BI51" s="92"/>
      <c r="BJ51" s="92" t="str">
        <f>CONCATENATE( IF('اسفند 402'!BJ55=1,"ص‌‌",""),IF('اسفند 402'!BK55=1,"ص‌'",""),IF('اسفند 402'!BJ56=1,"ع‌",""),IF('اسفند 402'!BK56=1,"ع‌",""),IF('اسفند 402'!BJ57=1,"ش‌",""),IF('اسفند 402'!BK57=1,"ش'‌",""), IF('اسفند 402'!BJ55="*","",""), IF('اسفند 402'!BJ55="@","*",""))</f>
        <v/>
      </c>
      <c r="BK51" s="92"/>
      <c r="BL51" s="92" t="str">
        <f>CONCATENATE( IF('اسفند 402'!BL55=1,"ص‌‌",""),IF('اسفند 402'!BM55=1,"ص‌'",""),IF('اسفند 402'!BL56=1,"ع‌",""),IF('اسفند 402'!BM56=1,"ع‌",""),IF('اسفند 402'!BL57=1,"ش‌",""),IF('اسفند 402'!BM57=1,"ش'‌",""), IF('اسفند 402'!BL55="*","",""), IF('اسفند 402'!BL55="@","*",""))</f>
        <v>ص‌‌ش‌</v>
      </c>
      <c r="BM51" s="92"/>
      <c r="BN51" s="93" t="str">
        <f>CONCATENATE( IF('اسفند 402'!BN55=1,"ص‌‌",""),IF('اسفند 402'!BO55=1,"ص‌'",""),IF('اسفند 402'!BN56=1,"ع‌",""),IF('اسفند 402'!BO56=1,"ع‌",""),IF('اسفند 402'!BN57=1,"ش‌",""),IF('اسفند 402'!BO57=1,"ش'‌",""), IF('اسفند 402'!BN55="*","",""), IF('اسفند 402'!BN55="@","*",""))</f>
        <v/>
      </c>
      <c r="BO51" s="93"/>
      <c r="BP51" s="83">
        <f>'اسفند 402'!C56</f>
        <v>25</v>
      </c>
    </row>
    <row r="52" spans="1:68" s="33" customFormat="1" ht="6" customHeight="1" x14ac:dyDescent="0.25">
      <c r="A52" s="88"/>
      <c r="B52" s="86"/>
      <c r="C52" s="83"/>
      <c r="D52" s="112"/>
      <c r="E52" s="83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3"/>
      <c r="AM52" s="93"/>
      <c r="AN52" s="92"/>
      <c r="AO52" s="92"/>
      <c r="AP52" s="92"/>
      <c r="AQ52" s="92"/>
      <c r="AR52" s="92"/>
      <c r="AS52" s="92"/>
      <c r="AT52" s="92"/>
      <c r="AU52" s="92"/>
      <c r="AV52" s="93"/>
      <c r="AW52" s="93"/>
      <c r="AX52" s="93"/>
      <c r="AY52" s="93"/>
      <c r="AZ52" s="93"/>
      <c r="BA52" s="93"/>
      <c r="BB52" s="92"/>
      <c r="BC52" s="92"/>
      <c r="BD52" s="92"/>
      <c r="BE52" s="92"/>
      <c r="BF52" s="92"/>
      <c r="BG52" s="92"/>
      <c r="BH52" s="92"/>
      <c r="BI52" s="92"/>
      <c r="BJ52" s="92"/>
      <c r="BK52" s="92"/>
      <c r="BL52" s="92"/>
      <c r="BM52" s="92"/>
      <c r="BN52" s="93"/>
      <c r="BO52" s="93"/>
      <c r="BP52" s="83"/>
    </row>
    <row r="53" spans="1:68" s="33" customFormat="1" ht="6" customHeight="1" x14ac:dyDescent="0.25">
      <c r="A53" s="88"/>
      <c r="B53" s="87"/>
      <c r="C53" s="83"/>
      <c r="D53" s="112"/>
      <c r="E53" s="83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3"/>
      <c r="AM53" s="93"/>
      <c r="AN53" s="92"/>
      <c r="AO53" s="92"/>
      <c r="AP53" s="92"/>
      <c r="AQ53" s="92"/>
      <c r="AR53" s="92"/>
      <c r="AS53" s="92"/>
      <c r="AT53" s="92"/>
      <c r="AU53" s="92"/>
      <c r="AV53" s="93"/>
      <c r="AW53" s="93"/>
      <c r="AX53" s="93"/>
      <c r="AY53" s="93"/>
      <c r="AZ53" s="93"/>
      <c r="BA53" s="93"/>
      <c r="BB53" s="92"/>
      <c r="BC53" s="92"/>
      <c r="BD53" s="92"/>
      <c r="BE53" s="92"/>
      <c r="BF53" s="92"/>
      <c r="BG53" s="92"/>
      <c r="BH53" s="92"/>
      <c r="BI53" s="92"/>
      <c r="BJ53" s="92"/>
      <c r="BK53" s="92"/>
      <c r="BL53" s="92"/>
      <c r="BM53" s="92"/>
      <c r="BN53" s="93"/>
      <c r="BO53" s="93"/>
      <c r="BP53" s="83"/>
    </row>
    <row r="54" spans="1:68" s="33" customFormat="1" ht="6" customHeight="1" x14ac:dyDescent="0.25">
      <c r="A54" s="88"/>
      <c r="B54" s="85">
        <v>18</v>
      </c>
      <c r="C54" s="83" t="str">
        <f>'اسفند 402'!B58</f>
        <v>x17</v>
      </c>
      <c r="D54" s="112" t="s">
        <v>31</v>
      </c>
      <c r="E54" s="83">
        <v>2.9</v>
      </c>
      <c r="F54" s="92" t="str">
        <f>CONCATENATE( IF('اسفند 402'!F58=1,"ص‌‌",""),IF('اسفند 402'!G58=1,"ص‌'",""),IF('اسفند 402'!F59=1,"ع‌",""),IF('اسفند 402'!G59=1,"ع‌",""),IF('اسفند 402'!F60=1,"ش‌",""),IF('اسفند 402'!G60=1,"ش'‌",""), IF('اسفند 402'!F58="*","",""), IF('اسفند 402'!F58="@","*",""))</f>
        <v/>
      </c>
      <c r="G54" s="92"/>
      <c r="H54" s="92" t="str">
        <f>CONCATENATE( IF('اسفند 402'!H58=1,"ص‌‌",""),IF('اسفند 402'!I58=1,"ص‌'",""),IF('اسفند 402'!H59=1,"ع‌",""),IF('اسفند 402'!I59=1,"ع‌",""),IF('اسفند 402'!H60=1,"ش‌",""),IF('اسفند 402'!I60=1,"ش'‌",""), IF('اسفند 402'!H58="*","",""), IF('اسفند 402'!H58="@","*",""))</f>
        <v/>
      </c>
      <c r="I54" s="92"/>
      <c r="J54" s="92" t="str">
        <f>CONCATENATE( IF('اسفند 402'!J58=1,"ص‌‌",""),IF('اسفند 402'!K58=1,"ص‌'",""),IF('اسفند 402'!J59=1,"ع‌",""),IF('اسفند 402'!K59=1,"ع‌",""),IF('اسفند 402'!J60=1,"ش‌",""),IF('اسفند 402'!K60=1,"ش'‌",""), IF('اسفند 402'!J58="*","",""), IF('اسفند 402'!J58="@","*",""))</f>
        <v/>
      </c>
      <c r="K54" s="92"/>
      <c r="L54" s="92" t="str">
        <f>CONCATENATE( IF('اسفند 402'!L58=1,"ص‌‌",""),IF('اسفند 402'!M58=1,"ص‌'",""),IF('اسفند 402'!L59=1,"ع‌",""),IF('اسفند 402'!M59=1,"ع‌",""),IF('اسفند 402'!L60=1,"ش‌",""),IF('اسفند 402'!M60=1,"ش'‌",""), IF('اسفند 402'!L58="*","",""), IF('اسفند 402'!L58="@","*",""))</f>
        <v/>
      </c>
      <c r="M54" s="92"/>
      <c r="N54" s="92" t="str">
        <f>CONCATENATE( IF('اسفند 402'!N58=1,"ص‌‌",""),IF('اسفند 402'!O58=1,"ص‌'",""),IF('اسفند 402'!N59=1,"ع‌",""),IF('اسفند 402'!O59=1,"ع‌",""),IF('اسفند 402'!N60=1,"ش‌",""),IF('اسفند 402'!O60=1,"ش'‌",""), IF('اسفند 402'!N58="*","",""), IF('اسفند 402'!N58="@","*",""))</f>
        <v/>
      </c>
      <c r="O54" s="92"/>
      <c r="P54" s="92" t="str">
        <f>CONCATENATE( IF('اسفند 402'!P58=1,"ص‌‌",""),IF('اسفند 402'!Q58=1,"ص‌'",""),IF('اسفند 402'!P59=1,"ع‌",""),IF('اسفند 402'!Q59=1,"ع‌",""),IF('اسفند 402'!P60=1,"ش‌",""),IF('اسفند 402'!Q60=1,"ش'‌",""), IF('اسفند 402'!P58="*","",""), IF('اسفند 402'!P58="@","*",""))</f>
        <v/>
      </c>
      <c r="Q54" s="92"/>
      <c r="R54" s="92" t="str">
        <f>CONCATENATE( IF('اسفند 402'!R58=1,"ص‌‌",""),IF('اسفند 402'!S58=1,"ص‌'",""),IF('اسفند 402'!R59=1,"ع‌",""),IF('اسفند 402'!S59=1,"ع‌",""),IF('اسفند 402'!R60=1,"ش‌",""),IF('اسفند 402'!S60=1,"ش'‌",""), IF('اسفند 402'!R58="*","",""), IF('اسفند 402'!R58="@","*",""))</f>
        <v>ع‌</v>
      </c>
      <c r="S54" s="92"/>
      <c r="T54" s="92" t="str">
        <f>CONCATENATE( IF('اسفند 402'!T58=1,"ص‌‌",""),IF('اسفند 402'!U58=1,"ص‌'",""),IF('اسفند 402'!T59=1,"ع‌",""),IF('اسفند 402'!U59=1,"ع‌",""),IF('اسفند 402'!T60=1,"ش‌",""),IF('اسفند 402'!U60=1,"ش'‌",""), IF('اسفند 402'!T58="*","",""), IF('اسفند 402'!T58="@","*",""))</f>
        <v>ص‌‌ش‌</v>
      </c>
      <c r="U54" s="92"/>
      <c r="V54" s="92" t="str">
        <f>CONCATENATE( IF('اسفند 402'!V58=1,"ص‌‌",""),IF('اسفند 402'!W58=1,"ص‌'",""),IF('اسفند 402'!V59=1,"ع‌",""),IF('اسفند 402'!W59=1,"ع‌",""),IF('اسفند 402'!V60=1,"ش‌",""),IF('اسفند 402'!W60=1,"ش'‌",""), IF('اسفند 402'!V58="*","",""), IF('اسفند 402'!V58="@","*",""))</f>
        <v/>
      </c>
      <c r="W54" s="92"/>
      <c r="X54" s="92" t="str">
        <f>CONCATENATE( IF('اسفند 402'!X58=1,"ص‌‌",""),IF('اسفند 402'!Y58=1,"ص‌'",""),IF('اسفند 402'!X59=1,"ع‌",""),IF('اسفند 402'!Y59=1,"ع‌",""),IF('اسفند 402'!X60=1,"ش‌",""),IF('اسفند 402'!Y60=1,"ش'‌",""), IF('اسفند 402'!X58="*","",""), IF('اسفند 402'!X58="@","*",""))</f>
        <v>ص‌‌ع‌</v>
      </c>
      <c r="Y54" s="92"/>
      <c r="Z54" s="92" t="str">
        <f>CONCATENATE( IF('اسفند 402'!Z58=1,"ص‌‌",""),IF('اسفند 402'!AA58=1,"ص‌'",""),IF('اسفند 402'!Z59=1,"ع‌",""),IF('اسفند 402'!AA59=1,"ع‌",""),IF('اسفند 402'!Z60=1,"ش‌",""),IF('اسفند 402'!AA60=1,"ش'‌",""), IF('اسفند 402'!Z58="*","",""), IF('اسفند 402'!Z58="@","*",""))</f>
        <v>ص‌‌ش‌</v>
      </c>
      <c r="AA54" s="92"/>
      <c r="AB54" s="92" t="str">
        <f>CONCATENATE( IF('اسفند 402'!AB58=1,"ص‌‌",""),IF('اسفند 402'!AC58=1,"ص‌'",""),IF('اسفند 402'!AB59=1,"ع‌",""),IF('اسفند 402'!AC59=1,"ع‌",""),IF('اسفند 402'!AB60=1,"ش‌",""),IF('اسفند 402'!AC60=1,"ش'‌",""), IF('اسفند 402'!AB58="*","",""), IF('اسفند 402'!AB58="@","*",""))</f>
        <v/>
      </c>
      <c r="AC54" s="92"/>
      <c r="AD54" s="92" t="str">
        <f>CONCATENATE( IF('اسفند 402'!AD58=1,"ص‌‌",""),IF('اسفند 402'!AE58=1,"ص‌'",""),IF('اسفند 402'!AD59=1,"ع‌",""),IF('اسفند 402'!AE59=1,"ع‌",""),IF('اسفند 402'!AD60=1,"ش‌",""),IF('اسفند 402'!AE60=1,"ش'‌",""), IF('اسفند 402'!AD58="*","",""), IF('اسفند 402'!AD58="@","*",""))</f>
        <v>ص‌‌ع‌</v>
      </c>
      <c r="AE54" s="92"/>
      <c r="AF54" s="92" t="str">
        <f>CONCATENATE( IF('اسفند 402'!AF58=1,"ص‌‌",""),IF('اسفند 402'!AG58=1,"ص‌'",""),IF('اسفند 402'!AF59=1,"ع‌",""),IF('اسفند 402'!AG59=1,"ع‌",""),IF('اسفند 402'!AF60=1,"ش‌",""),IF('اسفند 402'!AG60=1,"ش'‌",""), IF('اسفند 402'!AF58="*","",""), IF('اسفند 402'!AF58="@","*",""))</f>
        <v/>
      </c>
      <c r="AG54" s="92"/>
      <c r="AH54" s="92" t="str">
        <f>CONCATENATE( IF('اسفند 402'!AH58=1,"ص‌‌",""),IF('اسفند 402'!AI58=1,"ص‌'",""),IF('اسفند 402'!AH59=1,"ع‌",""),IF('اسفند 402'!AI59=1,"ع‌",""),IF('اسفند 402'!AH60=1,"ش‌",""),IF('اسفند 402'!AI60=1,"ش'‌",""), IF('اسفند 402'!AH58="*","",""), IF('اسفند 402'!AH58="@","*",""))</f>
        <v>*</v>
      </c>
      <c r="AI54" s="92"/>
      <c r="AJ54" s="92" t="str">
        <f>CONCATENATE( IF('اسفند 402'!AJ58=1,"ص‌‌",""),IF('اسفند 402'!AK58=1,"ص‌'",""),IF('اسفند 402'!AJ59=1,"ع‌",""),IF('اسفند 402'!AK59=1,"ع‌",""),IF('اسفند 402'!AJ60=1,"ش‌",""),IF('اسفند 402'!AK60=1,"ش'‌",""), IF('اسفند 402'!AJ58="*","",""), IF('اسفند 402'!AJ58="@","*",""))</f>
        <v/>
      </c>
      <c r="AK54" s="92"/>
      <c r="AL54" s="93" t="str">
        <f>CONCATENATE( IF('اسفند 402'!AL58=1,"ص‌‌",""),IF('اسفند 402'!AM58=1,"ص‌'",""),IF('اسفند 402'!AL59=1,"ع‌",""),IF('اسفند 402'!AM59=1,"ع‌",""),IF('اسفند 402'!AL60=1,"ش‌",""),IF('اسفند 402'!AM60=1,"ش'‌",""), IF('اسفند 402'!AL58="*","",""), IF('اسفند 402'!AL58="@","*",""))</f>
        <v>ش‌</v>
      </c>
      <c r="AM54" s="93"/>
      <c r="AN54" s="92" t="str">
        <f>CONCATENATE( IF('اسفند 402'!AN58=1,"ص‌‌",""),IF('اسفند 402'!AO58=1,"ص‌'",""),IF('اسفند 402'!AN59=1,"ع‌",""),IF('اسفند 402'!AO59=1,"ع‌",""),IF('اسفند 402'!AN60=1,"ش‌",""),IF('اسفند 402'!AO60=1,"ش'‌",""), IF('اسفند 402'!AN58="*","",""), IF('اسفند 402'!AN58="@","*",""))</f>
        <v/>
      </c>
      <c r="AO54" s="92"/>
      <c r="AP54" s="92" t="str">
        <f>CONCATENATE( IF('اسفند 402'!AP58=1,"ص‌‌",""),IF('اسفند 402'!AQ58=1,"ص‌'",""),IF('اسفند 402'!AP59=1,"ع‌",""),IF('اسفند 402'!AQ59=1,"ع‌",""),IF('اسفند 402'!AP60=1,"ش‌",""),IF('اسفند 402'!AQ60=1,"ش'‌",""), IF('اسفند 402'!AP58="*","",""), IF('اسفند 402'!AP58="@","*",""))</f>
        <v>ص‌‌ع‌</v>
      </c>
      <c r="AQ54" s="92"/>
      <c r="AR54" s="92" t="str">
        <f>CONCATENATE( IF('اسفند 402'!AR58=1,"ص‌‌",""),IF('اسفند 402'!AS58=1,"ص‌'",""),IF('اسفند 402'!AR59=1,"ع‌",""),IF('اسفند 402'!AS59=1,"ع‌",""),IF('اسفند 402'!AR60=1,"ش‌",""),IF('اسفند 402'!AS60=1,"ش'‌",""), IF('اسفند 402'!AR58="*","",""), IF('اسفند 402'!AR58="@","*",""))</f>
        <v>ص‌‌ع‌</v>
      </c>
      <c r="AS54" s="92"/>
      <c r="AT54" s="92" t="str">
        <f>CONCATENATE( IF('اسفند 402'!AT58=1,"ص‌‌",""),IF('اسفند 402'!AU58=1,"ص‌'",""),IF('اسفند 402'!AT59=1,"ع‌",""),IF('اسفند 402'!AU59=1,"ع‌",""),IF('اسفند 402'!AT60=1,"ش‌",""),IF('اسفند 402'!AU60=1,"ش'‌",""), IF('اسفند 402'!AT58="*","",""), IF('اسفند 402'!AT58="@","*",""))</f>
        <v>ع‌</v>
      </c>
      <c r="AU54" s="92"/>
      <c r="AV54" s="93" t="str">
        <f>CONCATENATE( IF('اسفند 402'!AV58=1,"ص‌‌",""),IF('اسفند 402'!AW58=1,"ص‌'",""),IF('اسفند 402'!AV59=1,"ع‌",""),IF('اسفند 402'!AW59=1,"ع‌",""),IF('اسفند 402'!AV60=1,"ش‌",""),IF('اسفند 402'!AW60=1,"ش'‌",""), IF('اسفند 402'!AV58="*","",""), IF('اسفند 402'!AV58="@","*",""))</f>
        <v/>
      </c>
      <c r="AW54" s="93"/>
      <c r="AX54" s="93" t="str">
        <f>CONCATENATE( IF('اسفند 402'!AX58=1,"ص‌‌",""),IF('اسفند 402'!AY58=1,"ص‌'",""),IF('اسفند 402'!AX59=1,"ع‌",""),IF('اسفند 402'!AY59=1,"ع‌",""),IF('اسفند 402'!AX60=1,"ش‌",""),IF('اسفند 402'!AY60=1,"ش'‌",""), IF('اسفند 402'!AX58="*","",""), IF('اسفند 402'!AX58="@","*",""))</f>
        <v/>
      </c>
      <c r="AY54" s="93"/>
      <c r="AZ54" s="93" t="str">
        <f>CONCATENATE( IF('اسفند 402'!AZ58=1,"ص‌‌",""),IF('اسفند 402'!BA58=1,"ص‌'",""),IF('اسفند 402'!AZ59=1,"ع‌",""),IF('اسفند 402'!BA59=1,"ع‌",""),IF('اسفند 402'!AZ60=1,"ش‌",""),IF('اسفند 402'!BA60=1,"ش'‌",""), IF('اسفند 402'!AZ58="*","",""), IF('اسفند 402'!AZ58="@","*",""))</f>
        <v/>
      </c>
      <c r="BA54" s="93"/>
      <c r="BB54" s="92" t="str">
        <f>CONCATENATE( IF('اسفند 402'!BB58=1,"ص‌‌",""),IF('اسفند 402'!BC58=1,"ص‌'",""),IF('اسفند 402'!BB59=1,"ع‌",""),IF('اسفند 402'!BC59=1,"ع‌",""),IF('اسفند 402'!BB60=1,"ش‌",""),IF('اسفند 402'!BC60=1,"ش'‌",""), IF('اسفند 402'!BB58="*","",""), IF('اسفند 402'!BB58="@","*",""))</f>
        <v>ع‌</v>
      </c>
      <c r="BC54" s="92"/>
      <c r="BD54" s="92" t="str">
        <f>CONCATENATE( IF('اسفند 402'!BD58=1,"ص‌‌",""),IF('اسفند 402'!BE58=1,"ص‌'",""),IF('اسفند 402'!BD59=1,"ع‌",""),IF('اسفند 402'!BE59=1,"ع‌",""),IF('اسفند 402'!BD60=1,"ش‌",""),IF('اسفند 402'!BE60=1,"ش'‌",""), IF('اسفند 402'!BD58="*","",""), IF('اسفند 402'!BD58="@","*",""))</f>
        <v/>
      </c>
      <c r="BE54" s="92"/>
      <c r="BF54" s="92" t="str">
        <f>CONCATENATE( IF('اسفند 402'!BF58=1,"ص‌‌",""),IF('اسفند 402'!BG58=1,"ص‌'",""),IF('اسفند 402'!BF59=1,"ع‌",""),IF('اسفند 402'!BG59=1,"ع‌",""),IF('اسفند 402'!BF60=1,"ش‌",""),IF('اسفند 402'!BG60=1,"ش'‌",""), IF('اسفند 402'!BF58="*","",""), IF('اسفند 402'!BF58="@","*",""))</f>
        <v/>
      </c>
      <c r="BG54" s="92"/>
      <c r="BH54" s="92" t="str">
        <f>CONCATENATE( IF('اسفند 402'!BH58=1,"ص‌‌",""),IF('اسفند 402'!BI58=1,"ص‌'",""),IF('اسفند 402'!BH59=1,"ع‌",""),IF('اسفند 402'!BI59=1,"ع‌",""),IF('اسفند 402'!BH60=1,"ش‌",""),IF('اسفند 402'!BI60=1,"ش'‌",""), IF('اسفند 402'!BH58="*","",""), IF('اسفند 402'!BH58="@","*",""))</f>
        <v>ص‌‌ش‌</v>
      </c>
      <c r="BI54" s="92"/>
      <c r="BJ54" s="92" t="str">
        <f>CONCATENATE( IF('اسفند 402'!BJ58=1,"ص‌‌",""),IF('اسفند 402'!BK58=1,"ص‌'",""),IF('اسفند 402'!BJ59=1,"ع‌",""),IF('اسفند 402'!BK59=1,"ع‌",""),IF('اسفند 402'!BJ60=1,"ش‌",""),IF('اسفند 402'!BK60=1,"ش'‌",""), IF('اسفند 402'!BJ58="*","",""), IF('اسفند 402'!BJ58="@","*",""))</f>
        <v/>
      </c>
      <c r="BK54" s="92"/>
      <c r="BL54" s="92" t="str">
        <f>CONCATENATE( IF('اسفند 402'!BL58=1,"ص‌‌",""),IF('اسفند 402'!BM58=1,"ص‌'",""),IF('اسفند 402'!BL59=1,"ع‌",""),IF('اسفند 402'!BM59=1,"ع‌",""),IF('اسفند 402'!BL60=1,"ش‌",""),IF('اسفند 402'!BM60=1,"ش'‌",""), IF('اسفند 402'!BL58="*","",""), IF('اسفند 402'!BL58="@","*",""))</f>
        <v/>
      </c>
      <c r="BM54" s="92"/>
      <c r="BN54" s="93" t="str">
        <f>CONCATENATE( IF('اسفند 402'!BN58=1,"ص‌‌",""),IF('اسفند 402'!BO58=1,"ص‌'",""),IF('اسفند 402'!BN59=1,"ع‌",""),IF('اسفند 402'!BO59=1,"ع‌",""),IF('اسفند 402'!BN60=1,"ش‌",""),IF('اسفند 402'!BO60=1,"ش'‌",""), IF('اسفند 402'!BN58="*","",""), IF('اسفند 402'!BN58="@","*",""))</f>
        <v>ش‌</v>
      </c>
      <c r="BO54" s="93"/>
      <c r="BP54" s="83">
        <f>'اسفند 402'!C59</f>
        <v>24</v>
      </c>
    </row>
    <row r="55" spans="1:68" s="33" customFormat="1" ht="6" customHeight="1" x14ac:dyDescent="0.25">
      <c r="A55" s="88"/>
      <c r="B55" s="86"/>
      <c r="C55" s="83"/>
      <c r="D55" s="112"/>
      <c r="E55" s="83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3"/>
      <c r="AM55" s="93"/>
      <c r="AN55" s="92"/>
      <c r="AO55" s="92"/>
      <c r="AP55" s="92"/>
      <c r="AQ55" s="92"/>
      <c r="AR55" s="92"/>
      <c r="AS55" s="92"/>
      <c r="AT55" s="92"/>
      <c r="AU55" s="92"/>
      <c r="AV55" s="93"/>
      <c r="AW55" s="93"/>
      <c r="AX55" s="93"/>
      <c r="AY55" s="93"/>
      <c r="AZ55" s="93"/>
      <c r="BA55" s="93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3"/>
      <c r="BO55" s="93"/>
      <c r="BP55" s="83"/>
    </row>
    <row r="56" spans="1:68" s="33" customFormat="1" ht="6" customHeight="1" x14ac:dyDescent="0.25">
      <c r="A56" s="88"/>
      <c r="B56" s="87"/>
      <c r="C56" s="83"/>
      <c r="D56" s="112"/>
      <c r="E56" s="83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3"/>
      <c r="AM56" s="93"/>
      <c r="AN56" s="92"/>
      <c r="AO56" s="92"/>
      <c r="AP56" s="92"/>
      <c r="AQ56" s="92"/>
      <c r="AR56" s="92"/>
      <c r="AS56" s="92"/>
      <c r="AT56" s="92"/>
      <c r="AU56" s="92"/>
      <c r="AV56" s="93"/>
      <c r="AW56" s="93"/>
      <c r="AX56" s="93"/>
      <c r="AY56" s="93"/>
      <c r="AZ56" s="93"/>
      <c r="BA56" s="93"/>
      <c r="BB56" s="92"/>
      <c r="BC56" s="92"/>
      <c r="BD56" s="92"/>
      <c r="BE56" s="92"/>
      <c r="BF56" s="92"/>
      <c r="BG56" s="92"/>
      <c r="BH56" s="92"/>
      <c r="BI56" s="92"/>
      <c r="BJ56" s="92"/>
      <c r="BK56" s="92"/>
      <c r="BL56" s="92"/>
      <c r="BM56" s="92"/>
      <c r="BN56" s="93"/>
      <c r="BO56" s="93"/>
      <c r="BP56" s="83"/>
    </row>
    <row r="57" spans="1:68" s="33" customFormat="1" ht="6" customHeight="1" x14ac:dyDescent="0.25">
      <c r="A57" s="88"/>
      <c r="B57" s="85">
        <v>19</v>
      </c>
      <c r="C57" s="83" t="str">
        <f>'اسفند 402'!B61</f>
        <v>x18</v>
      </c>
      <c r="D57" s="112" t="s">
        <v>31</v>
      </c>
      <c r="E57" s="83">
        <v>2.8</v>
      </c>
      <c r="F57" s="92" t="str">
        <f>CONCATENATE( IF('اسفند 402'!F61=1,"ص‌‌",""),IF('اسفند 402'!G61=1,"ص‌'",""),IF('اسفند 402'!F62=1,"ع‌",""),IF('اسفند 402'!G62=1,"ع‌",""),IF('اسفند 402'!F63=1,"ش‌",""),IF('اسفند 402'!G63=1,"ش'‌",""), IF('اسفند 402'!F61="*","",""), IF('اسفند 402'!F61="@","*",""))</f>
        <v>ع‌ش‌</v>
      </c>
      <c r="G57" s="92"/>
      <c r="H57" s="92" t="str">
        <f>CONCATENATE( IF('اسفند 402'!H61=1,"ص‌‌",""),IF('اسفند 402'!I61=1,"ص‌'",""),IF('اسفند 402'!H62=1,"ع‌",""),IF('اسفند 402'!I62=1,"ع‌",""),IF('اسفند 402'!H63=1,"ش‌",""),IF('اسفند 402'!I63=1,"ش'‌",""), IF('اسفند 402'!H61="*","",""), IF('اسفند 402'!H61="@","*",""))</f>
        <v/>
      </c>
      <c r="I57" s="92"/>
      <c r="J57" s="92" t="str">
        <f>CONCATENATE( IF('اسفند 402'!J61=1,"ص‌‌",""),IF('اسفند 402'!K61=1,"ص‌'",""),IF('اسفند 402'!J62=1,"ع‌",""),IF('اسفند 402'!K62=1,"ع‌",""),IF('اسفند 402'!J63=1,"ش‌",""),IF('اسفند 402'!K63=1,"ش'‌",""), IF('اسفند 402'!J61="*","",""), IF('اسفند 402'!J61="@","*",""))</f>
        <v>ش‌</v>
      </c>
      <c r="K57" s="92"/>
      <c r="L57" s="92" t="str">
        <f>CONCATENATE( IF('اسفند 402'!L61=1,"ص‌‌",""),IF('اسفند 402'!M61=1,"ص‌'",""),IF('اسفند 402'!L62=1,"ع‌",""),IF('اسفند 402'!M62=1,"ع‌",""),IF('اسفند 402'!L63=1,"ش‌",""),IF('اسفند 402'!M63=1,"ش'‌",""), IF('اسفند 402'!L61="*","",""), IF('اسفند 402'!L61="@","*",""))</f>
        <v/>
      </c>
      <c r="M57" s="92"/>
      <c r="N57" s="92" t="str">
        <f>CONCATENATE( IF('اسفند 402'!N61=1,"ص‌‌",""),IF('اسفند 402'!O61=1,"ص‌'",""),IF('اسفند 402'!N62=1,"ع‌",""),IF('اسفند 402'!O62=1,"ع‌",""),IF('اسفند 402'!N63=1,"ش‌",""),IF('اسفند 402'!O63=1,"ش'‌",""), IF('اسفند 402'!N61="*","",""), IF('اسفند 402'!N61="@","*",""))</f>
        <v>ص‌‌ع‌</v>
      </c>
      <c r="O57" s="92"/>
      <c r="P57" s="92" t="str">
        <f>CONCATENATE( IF('اسفند 402'!P61=1,"ص‌‌",""),IF('اسفند 402'!Q61=1,"ص‌'",""),IF('اسفند 402'!P62=1,"ع‌",""),IF('اسفند 402'!Q62=1,"ع‌",""),IF('اسفند 402'!P63=1,"ش‌",""),IF('اسفند 402'!Q63=1,"ش'‌",""), IF('اسفند 402'!P61="*","",""), IF('اسفند 402'!P61="@","*",""))</f>
        <v>ع‌ش‌</v>
      </c>
      <c r="Q57" s="92"/>
      <c r="R57" s="92" t="str">
        <f>CONCATENATE( IF('اسفند 402'!R61=1,"ص‌‌",""),IF('اسفند 402'!S61=1,"ص‌'",""),IF('اسفند 402'!R62=1,"ع‌",""),IF('اسفند 402'!S62=1,"ع‌",""),IF('اسفند 402'!R63=1,"ش‌",""),IF('اسفند 402'!S63=1,"ش'‌",""), IF('اسفند 402'!R61="*","",""), IF('اسفند 402'!R61="@","*",""))</f>
        <v/>
      </c>
      <c r="S57" s="92"/>
      <c r="T57" s="92" t="str">
        <f>CONCATENATE( IF('اسفند 402'!T61=1,"ص‌‌",""),IF('اسفند 402'!U61=1,"ص‌'",""),IF('اسفند 402'!T62=1,"ع‌",""),IF('اسفند 402'!U62=1,"ع‌",""),IF('اسفند 402'!T63=1,"ش‌",""),IF('اسفند 402'!U63=1,"ش'‌",""), IF('اسفند 402'!T61="*","",""), IF('اسفند 402'!T61="@","*",""))</f>
        <v/>
      </c>
      <c r="U57" s="92"/>
      <c r="V57" s="92" t="str">
        <f>CONCATENATE( IF('اسفند 402'!V61=1,"ص‌‌",""),IF('اسفند 402'!W61=1,"ص‌'",""),IF('اسفند 402'!V62=1,"ع‌",""),IF('اسفند 402'!W62=1,"ع‌",""),IF('اسفند 402'!V63=1,"ش‌",""),IF('اسفند 402'!W63=1,"ش'‌",""), IF('اسفند 402'!V61="*","",""), IF('اسفند 402'!V61="@","*",""))</f>
        <v/>
      </c>
      <c r="W57" s="92"/>
      <c r="X57" s="92" t="str">
        <f>CONCATENATE( IF('اسفند 402'!X61=1,"ص‌‌",""),IF('اسفند 402'!Y61=1,"ص‌'",""),IF('اسفند 402'!X62=1,"ع‌",""),IF('اسفند 402'!Y62=1,"ع‌",""),IF('اسفند 402'!X63=1,"ش‌",""),IF('اسفند 402'!Y63=1,"ش'‌",""), IF('اسفند 402'!X61="*","",""), IF('اسفند 402'!X61="@","*",""))</f>
        <v/>
      </c>
      <c r="Y57" s="92"/>
      <c r="Z57" s="92" t="str">
        <f>CONCATENATE( IF('اسفند 402'!Z61=1,"ص‌‌",""),IF('اسفند 402'!AA61=1,"ص‌'",""),IF('اسفند 402'!Z62=1,"ع‌",""),IF('اسفند 402'!AA62=1,"ع‌",""),IF('اسفند 402'!Z63=1,"ش‌",""),IF('اسفند 402'!AA63=1,"ش'‌",""), IF('اسفند 402'!Z61="*","",""), IF('اسفند 402'!Z61="@","*",""))</f>
        <v/>
      </c>
      <c r="AA57" s="92"/>
      <c r="AB57" s="92" t="str">
        <f>CONCATENATE( IF('اسفند 402'!AB61=1,"ص‌‌",""),IF('اسفند 402'!AC61=1,"ص‌'",""),IF('اسفند 402'!AB62=1,"ع‌",""),IF('اسفند 402'!AC62=1,"ع‌",""),IF('اسفند 402'!AB63=1,"ش‌",""),IF('اسفند 402'!AC63=1,"ش'‌",""), IF('اسفند 402'!AB61="*","",""), IF('اسفند 402'!AB61="@","*",""))</f>
        <v/>
      </c>
      <c r="AC57" s="92"/>
      <c r="AD57" s="92" t="str">
        <f>CONCATENATE( IF('اسفند 402'!AD61=1,"ص‌‌",""),IF('اسفند 402'!AE61=1,"ص‌'",""),IF('اسفند 402'!AD62=1,"ع‌",""),IF('اسفند 402'!AE62=1,"ع‌",""),IF('اسفند 402'!AD63=1,"ش‌",""),IF('اسفند 402'!AE63=1,"ش'‌",""), IF('اسفند 402'!AD61="*","",""), IF('اسفند 402'!AD61="@","*",""))</f>
        <v/>
      </c>
      <c r="AE57" s="92"/>
      <c r="AF57" s="92" t="str">
        <f>CONCATENATE( IF('اسفند 402'!AF61=1,"ص‌‌",""),IF('اسفند 402'!AG61=1,"ص‌'",""),IF('اسفند 402'!AF62=1,"ع‌",""),IF('اسفند 402'!AG62=1,"ع‌",""),IF('اسفند 402'!AF63=1,"ش‌",""),IF('اسفند 402'!AG63=1,"ش'‌",""), IF('اسفند 402'!AF61="*","",""), IF('اسفند 402'!AF61="@","*",""))</f>
        <v>ع‌ش‌</v>
      </c>
      <c r="AG57" s="92"/>
      <c r="AH57" s="92" t="str">
        <f>CONCATENATE( IF('اسفند 402'!AH61=1,"ص‌‌",""),IF('اسفند 402'!AI61=1,"ص‌'",""),IF('اسفند 402'!AH62=1,"ع‌",""),IF('اسفند 402'!AI62=1,"ع‌",""),IF('اسفند 402'!AH63=1,"ش‌",""),IF('اسفند 402'!AI63=1,"ش'‌",""), IF('اسفند 402'!AH61="*","",""), IF('اسفند 402'!AH61="@","*",""))</f>
        <v/>
      </c>
      <c r="AI57" s="92"/>
      <c r="AJ57" s="92" t="str">
        <f>CONCATENATE( IF('اسفند 402'!AJ61=1,"ص‌‌",""),IF('اسفند 402'!AK61=1,"ص‌'",""),IF('اسفند 402'!AJ62=1,"ع‌",""),IF('اسفند 402'!AK62=1,"ع‌",""),IF('اسفند 402'!AJ63=1,"ش‌",""),IF('اسفند 402'!AK63=1,"ش'‌",""), IF('اسفند 402'!AJ61="*","",""), IF('اسفند 402'!AJ61="@","*",""))</f>
        <v>*</v>
      </c>
      <c r="AK57" s="92"/>
      <c r="AL57" s="93" t="str">
        <f>CONCATENATE( IF('اسفند 402'!AL61=1,"ص‌‌",""),IF('اسفند 402'!AM61=1,"ص‌'",""),IF('اسفند 402'!AL62=1,"ع‌",""),IF('اسفند 402'!AM62=1,"ع‌",""),IF('اسفند 402'!AL63=1,"ش‌",""),IF('اسفند 402'!AM63=1,"ش'‌",""), IF('اسفند 402'!AL61="*","",""), IF('اسفند 402'!AL61="@","*",""))</f>
        <v/>
      </c>
      <c r="AM57" s="93"/>
      <c r="AN57" s="92" t="str">
        <f>CONCATENATE( IF('اسفند 402'!AN61=1,"ص‌‌",""),IF('اسفند 402'!AO61=1,"ص‌'",""),IF('اسفند 402'!AN62=1,"ع‌",""),IF('اسفند 402'!AO62=1,"ع‌",""),IF('اسفند 402'!AN63=1,"ش‌",""),IF('اسفند 402'!AO63=1,"ش'‌",""), IF('اسفند 402'!AN61="*","",""), IF('اسفند 402'!AN61="@","*",""))</f>
        <v>ع‌ش‌</v>
      </c>
      <c r="AO57" s="92"/>
      <c r="AP57" s="92" t="str">
        <f>CONCATENATE( IF('اسفند 402'!AP61=1,"ص‌‌",""),IF('اسفند 402'!AQ61=1,"ص‌'",""),IF('اسفند 402'!AP62=1,"ع‌",""),IF('اسفند 402'!AQ62=1,"ع‌",""),IF('اسفند 402'!AP63=1,"ش‌",""),IF('اسفند 402'!AQ63=1,"ش'‌",""), IF('اسفند 402'!AP61="*","",""), IF('اسفند 402'!AP61="@","*",""))</f>
        <v/>
      </c>
      <c r="AQ57" s="92"/>
      <c r="AR57" s="92" t="str">
        <f>CONCATENATE( IF('اسفند 402'!AR61=1,"ص‌‌",""),IF('اسفند 402'!AS61=1,"ص‌'",""),IF('اسفند 402'!AR62=1,"ع‌",""),IF('اسفند 402'!AS62=1,"ع‌",""),IF('اسفند 402'!AR63=1,"ش‌",""),IF('اسفند 402'!AS63=1,"ش'‌",""), IF('اسفند 402'!AR61="*","",""), IF('اسفند 402'!AR61="@","*",""))</f>
        <v>ع‌ش‌</v>
      </c>
      <c r="AS57" s="92"/>
      <c r="AT57" s="92" t="str">
        <f>CONCATENATE( IF('اسفند 402'!AT61=1,"ص‌‌",""),IF('اسفند 402'!AU61=1,"ص‌'",""),IF('اسفند 402'!AT62=1,"ع‌",""),IF('اسفند 402'!AU62=1,"ع‌",""),IF('اسفند 402'!AT63=1,"ش‌",""),IF('اسفند 402'!AU63=1,"ش'‌",""), IF('اسفند 402'!AT61="*","",""), IF('اسفند 402'!AT61="@","*",""))</f>
        <v/>
      </c>
      <c r="AU57" s="92"/>
      <c r="AV57" s="93" t="str">
        <f>CONCATENATE( IF('اسفند 402'!AV61=1,"ص‌‌",""),IF('اسفند 402'!AW61=1,"ص‌'",""),IF('اسفند 402'!AV62=1,"ع‌",""),IF('اسفند 402'!AW62=1,"ع‌",""),IF('اسفند 402'!AV63=1,"ش‌",""),IF('اسفند 402'!AW63=1,"ش'‌",""), IF('اسفند 402'!AV61="*","",""), IF('اسفند 402'!AV61="@","*",""))</f>
        <v/>
      </c>
      <c r="AW57" s="93"/>
      <c r="AX57" s="93" t="str">
        <f>CONCATENATE( IF('اسفند 402'!AX61=1,"ص‌‌",""),IF('اسفند 402'!AY61=1,"ص‌'",""),IF('اسفند 402'!AX62=1,"ع‌",""),IF('اسفند 402'!AY62=1,"ع‌",""),IF('اسفند 402'!AX63=1,"ش‌",""),IF('اسفند 402'!AY63=1,"ش'‌",""), IF('اسفند 402'!AX61="*","",""), IF('اسفند 402'!AX61="@","*",""))</f>
        <v/>
      </c>
      <c r="AY57" s="93"/>
      <c r="AZ57" s="93" t="str">
        <f>CONCATENATE( IF('اسفند 402'!AZ61=1,"ص‌‌",""),IF('اسفند 402'!BA61=1,"ص‌'",""),IF('اسفند 402'!AZ62=1,"ع‌",""),IF('اسفند 402'!BA62=1,"ع‌",""),IF('اسفند 402'!AZ63=1,"ش‌",""),IF('اسفند 402'!BA63=1,"ش'‌",""), IF('اسفند 402'!AZ61="*","",""), IF('اسفند 402'!AZ61="@","*",""))</f>
        <v>ع‌</v>
      </c>
      <c r="BA57" s="93"/>
      <c r="BB57" s="92" t="str">
        <f>CONCATENATE( IF('اسفند 402'!BB61=1,"ص‌‌",""),IF('اسفند 402'!BC61=1,"ص‌'",""),IF('اسفند 402'!BB62=1,"ع‌",""),IF('اسفند 402'!BC62=1,"ع‌",""),IF('اسفند 402'!BB63=1,"ش‌",""),IF('اسفند 402'!BC63=1,"ش'‌",""), IF('اسفند 402'!BB61="*","",""), IF('اسفند 402'!BB61="@","*",""))</f>
        <v/>
      </c>
      <c r="BC57" s="92"/>
      <c r="BD57" s="92" t="str">
        <f>CONCATENATE( IF('اسفند 402'!BD61=1,"ص‌‌",""),IF('اسفند 402'!BE61=1,"ص‌'",""),IF('اسفند 402'!BD62=1,"ع‌",""),IF('اسفند 402'!BE62=1,"ع‌",""),IF('اسفند 402'!BD63=1,"ش‌",""),IF('اسفند 402'!BE63=1,"ش'‌",""), IF('اسفند 402'!BD61="*","",""), IF('اسفند 402'!BD61="@","*",""))</f>
        <v>ع‌</v>
      </c>
      <c r="BE57" s="92"/>
      <c r="BF57" s="92" t="str">
        <f>CONCATENATE( IF('اسفند 402'!BF61=1,"ص‌‌",""),IF('اسفند 402'!BG61=1,"ص‌'",""),IF('اسفند 402'!BF62=1,"ع‌",""),IF('اسفند 402'!BG62=1,"ع‌",""),IF('اسفند 402'!BF63=1,"ش‌",""),IF('اسفند 402'!BG63=1,"ش'‌",""), IF('اسفند 402'!BF61="*","",""), IF('اسفند 402'!BF61="@","*",""))</f>
        <v/>
      </c>
      <c r="BG57" s="92"/>
      <c r="BH57" s="92" t="str">
        <f>CONCATENATE( IF('اسفند 402'!BH61=1,"ص‌‌",""),IF('اسفند 402'!BI61=1,"ص‌'",""),IF('اسفند 402'!BH62=1,"ع‌",""),IF('اسفند 402'!BI62=1,"ع‌",""),IF('اسفند 402'!BH63=1,"ش‌",""),IF('اسفند 402'!BI63=1,"ش'‌",""), IF('اسفند 402'!BH61="*","",""), IF('اسفند 402'!BH61="@","*",""))</f>
        <v/>
      </c>
      <c r="BI57" s="92"/>
      <c r="BJ57" s="92" t="str">
        <f>CONCATENATE( IF('اسفند 402'!BJ61=1,"ص‌‌",""),IF('اسفند 402'!BK61=1,"ص‌'",""),IF('اسفند 402'!BJ62=1,"ع‌",""),IF('اسفند 402'!BK62=1,"ع‌",""),IF('اسفند 402'!BJ63=1,"ش‌",""),IF('اسفند 402'!BK63=1,"ش'‌",""), IF('اسفند 402'!BJ61="*","",""), IF('اسفند 402'!BJ61="@","*",""))</f>
        <v>ع‌</v>
      </c>
      <c r="BK57" s="92"/>
      <c r="BL57" s="92" t="str">
        <f>CONCATENATE( IF('اسفند 402'!BL61=1,"ص‌‌",""),IF('اسفند 402'!BM61=1,"ص‌'",""),IF('اسفند 402'!BL62=1,"ع‌",""),IF('اسفند 402'!BM62=1,"ع‌",""),IF('اسفند 402'!BL63=1,"ش‌",""),IF('اسفند 402'!BM63=1,"ش'‌",""), IF('اسفند 402'!BL61="*","",""), IF('اسفند 402'!BL61="@","*",""))</f>
        <v>ع‌ش‌</v>
      </c>
      <c r="BM57" s="92"/>
      <c r="BN57" s="93" t="str">
        <f>CONCATENATE( IF('اسفند 402'!BN61=1,"ص‌‌",""),IF('اسفند 402'!BO61=1,"ص‌'",""),IF('اسفند 402'!BN62=1,"ع‌",""),IF('اسفند 402'!BO62=1,"ع‌",""),IF('اسفند 402'!BN63=1,"ش‌",""),IF('اسفند 402'!BO63=1,"ش'‌",""), IF('اسفند 402'!BN61="*","",""), IF('اسفند 402'!BN61="@","*",""))</f>
        <v/>
      </c>
      <c r="BO57" s="93"/>
      <c r="BP57" s="83">
        <f>'اسفند 402'!C62</f>
        <v>25</v>
      </c>
    </row>
    <row r="58" spans="1:68" s="33" customFormat="1" ht="6" customHeight="1" x14ac:dyDescent="0.25">
      <c r="A58" s="88"/>
      <c r="B58" s="86"/>
      <c r="C58" s="83"/>
      <c r="D58" s="112"/>
      <c r="E58" s="83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3"/>
      <c r="AM58" s="93"/>
      <c r="AN58" s="92"/>
      <c r="AO58" s="92"/>
      <c r="AP58" s="92"/>
      <c r="AQ58" s="92"/>
      <c r="AR58" s="92"/>
      <c r="AS58" s="92"/>
      <c r="AT58" s="92"/>
      <c r="AU58" s="92"/>
      <c r="AV58" s="93"/>
      <c r="AW58" s="93"/>
      <c r="AX58" s="93"/>
      <c r="AY58" s="93"/>
      <c r="AZ58" s="93"/>
      <c r="BA58" s="93"/>
      <c r="BB58" s="92"/>
      <c r="BC58" s="92"/>
      <c r="BD58" s="92"/>
      <c r="BE58" s="92"/>
      <c r="BF58" s="92"/>
      <c r="BG58" s="92"/>
      <c r="BH58" s="92"/>
      <c r="BI58" s="92"/>
      <c r="BJ58" s="92"/>
      <c r="BK58" s="92"/>
      <c r="BL58" s="92"/>
      <c r="BM58" s="92"/>
      <c r="BN58" s="93"/>
      <c r="BO58" s="93"/>
      <c r="BP58" s="83"/>
    </row>
    <row r="59" spans="1:68" s="33" customFormat="1" ht="6" customHeight="1" x14ac:dyDescent="0.25">
      <c r="A59" s="88"/>
      <c r="B59" s="87"/>
      <c r="C59" s="83"/>
      <c r="D59" s="112"/>
      <c r="E59" s="83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3"/>
      <c r="AM59" s="93"/>
      <c r="AN59" s="92"/>
      <c r="AO59" s="92"/>
      <c r="AP59" s="92"/>
      <c r="AQ59" s="92"/>
      <c r="AR59" s="92"/>
      <c r="AS59" s="92"/>
      <c r="AT59" s="92"/>
      <c r="AU59" s="92"/>
      <c r="AV59" s="93"/>
      <c r="AW59" s="93"/>
      <c r="AX59" s="93"/>
      <c r="AY59" s="93"/>
      <c r="AZ59" s="93"/>
      <c r="BA59" s="93"/>
      <c r="BB59" s="92"/>
      <c r="BC59" s="92"/>
      <c r="BD59" s="92"/>
      <c r="BE59" s="92"/>
      <c r="BF59" s="92"/>
      <c r="BG59" s="92"/>
      <c r="BH59" s="92"/>
      <c r="BI59" s="92"/>
      <c r="BJ59" s="92"/>
      <c r="BK59" s="92"/>
      <c r="BL59" s="92"/>
      <c r="BM59" s="92"/>
      <c r="BN59" s="93"/>
      <c r="BO59" s="93"/>
      <c r="BP59" s="83"/>
    </row>
    <row r="60" spans="1:68" s="33" customFormat="1" ht="6" customHeight="1" x14ac:dyDescent="0.25">
      <c r="A60" s="88"/>
      <c r="B60" s="85">
        <v>20</v>
      </c>
      <c r="C60" s="83" t="str">
        <f>'اسفند 402'!B64</f>
        <v>x19</v>
      </c>
      <c r="D60" s="112" t="s">
        <v>31</v>
      </c>
      <c r="E60" s="83">
        <v>1.1000000000000001</v>
      </c>
      <c r="F60" s="92" t="str">
        <f>CONCATENATE( IF('اسفند 402'!F64=1,"ص‌‌",""),IF('اسفند 402'!G64=1,"ص‌'",""),IF('اسفند 402'!F65=1,"ع‌",""),IF('اسفند 402'!G65=1,"ع‌",""),IF('اسفند 402'!F66=1,"ش‌",""),IF('اسفند 402'!G66=1,"ش'‌",""), IF('اسفند 402'!F64="*","",""), IF('اسفند 402'!F64="@","*",""))</f>
        <v/>
      </c>
      <c r="G60" s="92"/>
      <c r="H60" s="92" t="str">
        <f>CONCATENATE( IF('اسفند 402'!H64=1,"ص‌‌",""),IF('اسفند 402'!I64=1,"ص‌'",""),IF('اسفند 402'!H65=1,"ع‌",""),IF('اسفند 402'!I65=1,"ع‌",""),IF('اسفند 402'!H66=1,"ش‌",""),IF('اسفند 402'!I66=1,"ش'‌",""), IF('اسفند 402'!H64="*","",""), IF('اسفند 402'!H64="@","*",""))</f>
        <v/>
      </c>
      <c r="I60" s="92"/>
      <c r="J60" s="92" t="str">
        <f>CONCATENATE( IF('اسفند 402'!J64=1,"ص‌‌",""),IF('اسفند 402'!K64=1,"ص‌'",""),IF('اسفند 402'!J65=1,"ع‌",""),IF('اسفند 402'!K65=1,"ع‌",""),IF('اسفند 402'!J66=1,"ش‌",""),IF('اسفند 402'!K66=1,"ش'‌",""), IF('اسفند 402'!J64="*","",""), IF('اسفند 402'!J64="@","*",""))</f>
        <v/>
      </c>
      <c r="K60" s="92"/>
      <c r="L60" s="92" t="str">
        <f>CONCATENATE( IF('اسفند 402'!L64=1,"ص‌‌",""),IF('اسفند 402'!M64=1,"ص‌'",""),IF('اسفند 402'!L65=1,"ع‌",""),IF('اسفند 402'!M65=1,"ع‌",""),IF('اسفند 402'!L66=1,"ش‌",""),IF('اسفند 402'!M66=1,"ش'‌",""), IF('اسفند 402'!L64="*","",""), IF('اسفند 402'!L64="@","*",""))</f>
        <v/>
      </c>
      <c r="M60" s="92"/>
      <c r="N60" s="92" t="str">
        <f>CONCATENATE( IF('اسفند 402'!N64=1,"ص‌‌",""),IF('اسفند 402'!O64=1,"ص‌'",""),IF('اسفند 402'!N65=1,"ع‌",""),IF('اسفند 402'!O65=1,"ع‌",""),IF('اسفند 402'!N66=1,"ش‌",""),IF('اسفند 402'!O66=1,"ش'‌",""), IF('اسفند 402'!N64="*","",""), IF('اسفند 402'!N64="@","*",""))</f>
        <v/>
      </c>
      <c r="O60" s="92"/>
      <c r="P60" s="92" t="str">
        <f>CONCATENATE( IF('اسفند 402'!P64=1,"ص‌‌",""),IF('اسفند 402'!Q64=1,"ص‌'",""),IF('اسفند 402'!P65=1,"ع‌",""),IF('اسفند 402'!Q65=1,"ع‌",""),IF('اسفند 402'!P66=1,"ش‌",""),IF('اسفند 402'!Q66=1,"ش'‌",""), IF('اسفند 402'!P64="*","",""), IF('اسفند 402'!P64="@","*",""))</f>
        <v/>
      </c>
      <c r="Q60" s="92"/>
      <c r="R60" s="92" t="str">
        <f>CONCATENATE( IF('اسفند 402'!R64=1,"ص‌‌",""),IF('اسفند 402'!S64=1,"ص‌'",""),IF('اسفند 402'!R65=1,"ع‌",""),IF('اسفند 402'!S65=1,"ع‌",""),IF('اسفند 402'!R66=1,"ش‌",""),IF('اسفند 402'!S66=1,"ش'‌",""), IF('اسفند 402'!R64="*","",""), IF('اسفند 402'!R64="@","*",""))</f>
        <v>ص‌‌ع‌</v>
      </c>
      <c r="S60" s="92"/>
      <c r="T60" s="92" t="str">
        <f>CONCATENATE( IF('اسفند 402'!T64=1,"ص‌‌",""),IF('اسفند 402'!U64=1,"ص‌'",""),IF('اسفند 402'!T65=1,"ع‌",""),IF('اسفند 402'!U65=1,"ع‌",""),IF('اسفند 402'!T66=1,"ش‌",""),IF('اسفند 402'!U66=1,"ش'‌",""), IF('اسفند 402'!T64="*","",""), IF('اسفند 402'!T64="@","*",""))</f>
        <v>ع‌ش‌</v>
      </c>
      <c r="U60" s="92"/>
      <c r="V60" s="92" t="str">
        <f>CONCATENATE( IF('اسفند 402'!V64=1,"ص‌‌",""),IF('اسفند 402'!W64=1,"ص‌'",""),IF('اسفند 402'!V65=1,"ع‌",""),IF('اسفند 402'!W65=1,"ع‌",""),IF('اسفند 402'!V66=1,"ش‌",""),IF('اسفند 402'!W66=1,"ش'‌",""), IF('اسفند 402'!V64="*","",""), IF('اسفند 402'!V64="@","*",""))</f>
        <v/>
      </c>
      <c r="W60" s="92"/>
      <c r="X60" s="92" t="str">
        <f>CONCATENATE( IF('اسفند 402'!X64=1,"ص‌‌",""),IF('اسفند 402'!Y64=1,"ص‌'",""),IF('اسفند 402'!X65=1,"ع‌",""),IF('اسفند 402'!Y65=1,"ع‌",""),IF('اسفند 402'!X66=1,"ش‌",""),IF('اسفند 402'!Y66=1,"ش'‌",""), IF('اسفند 402'!X64="*","",""), IF('اسفند 402'!X64="@","*",""))</f>
        <v>ص‌‌ش‌</v>
      </c>
      <c r="Y60" s="92"/>
      <c r="Z60" s="92" t="str">
        <f>CONCATENATE( IF('اسفند 402'!Z64=1,"ص‌‌",""),IF('اسفند 402'!AA64=1,"ص‌'",""),IF('اسفند 402'!Z65=1,"ع‌",""),IF('اسفند 402'!AA65=1,"ع‌",""),IF('اسفند 402'!Z66=1,"ش‌",""),IF('اسفند 402'!AA66=1,"ش'‌",""), IF('اسفند 402'!Z64="*","",""), IF('اسفند 402'!Z64="@","*",""))</f>
        <v/>
      </c>
      <c r="AA60" s="92"/>
      <c r="AB60" s="92" t="str">
        <f>CONCATENATE( IF('اسفند 402'!AB64=1,"ص‌‌",""),IF('اسفند 402'!AC64=1,"ص‌'",""),IF('اسفند 402'!AB65=1,"ع‌",""),IF('اسفند 402'!AC65=1,"ع‌",""),IF('اسفند 402'!AB66=1,"ش‌",""),IF('اسفند 402'!AC66=1,"ش'‌",""), IF('اسفند 402'!AB64="*","",""), IF('اسفند 402'!AB64="@","*",""))</f>
        <v>ع‌ش‌</v>
      </c>
      <c r="AC60" s="92"/>
      <c r="AD60" s="92" t="str">
        <f>CONCATENATE( IF('اسفند 402'!AD64=1,"ص‌‌",""),IF('اسفند 402'!AE64=1,"ص‌'",""),IF('اسفند 402'!AD65=1,"ع‌",""),IF('اسفند 402'!AE65=1,"ع‌",""),IF('اسفند 402'!AD66=1,"ش‌",""),IF('اسفند 402'!AE66=1,"ش'‌",""), IF('اسفند 402'!AD64="*","",""), IF('اسفند 402'!AD64="@","*",""))</f>
        <v/>
      </c>
      <c r="AE60" s="92"/>
      <c r="AF60" s="92" t="str">
        <f>CONCATENATE( IF('اسفند 402'!AF64=1,"ص‌‌",""),IF('اسفند 402'!AG64=1,"ص‌'",""),IF('اسفند 402'!AF65=1,"ع‌",""),IF('اسفند 402'!AG65=1,"ع‌",""),IF('اسفند 402'!AF66=1,"ش‌",""),IF('اسفند 402'!AG66=1,"ش'‌",""), IF('اسفند 402'!AF64="*","",""), IF('اسفند 402'!AF64="@","*",""))</f>
        <v>ع‌</v>
      </c>
      <c r="AG60" s="92"/>
      <c r="AH60" s="92" t="str">
        <f>CONCATENATE( IF('اسفند 402'!AH64=1,"ص‌‌",""),IF('اسفند 402'!AI64=1,"ص‌'",""),IF('اسفند 402'!AH65=1,"ع‌",""),IF('اسفند 402'!AI65=1,"ع‌",""),IF('اسفند 402'!AH66=1,"ش‌",""),IF('اسفند 402'!AI66=1,"ش'‌",""), IF('اسفند 402'!AH64="*","",""), IF('اسفند 402'!AH64="@","*",""))</f>
        <v/>
      </c>
      <c r="AI60" s="92"/>
      <c r="AJ60" s="92" t="str">
        <f>CONCATENATE( IF('اسفند 402'!AJ64=1,"ص‌‌",""),IF('اسفند 402'!AK64=1,"ص‌'",""),IF('اسفند 402'!AJ65=1,"ع‌",""),IF('اسفند 402'!AK65=1,"ع‌",""),IF('اسفند 402'!AJ66=1,"ش‌",""),IF('اسفند 402'!AK66=1,"ش'‌",""), IF('اسفند 402'!AJ64="*","",""), IF('اسفند 402'!AJ64="@","*",""))</f>
        <v>ع‌</v>
      </c>
      <c r="AK60" s="92"/>
      <c r="AL60" s="93" t="str">
        <f>CONCATENATE( IF('اسفند 402'!AL64=1,"ص‌‌",""),IF('اسفند 402'!AM64=1,"ص‌'",""),IF('اسفند 402'!AL65=1,"ع‌",""),IF('اسفند 402'!AM65=1,"ع‌",""),IF('اسفند 402'!AL66=1,"ش‌",""),IF('اسفند 402'!AM66=1,"ش'‌",""), IF('اسفند 402'!AL64="*","",""), IF('اسفند 402'!AL64="@","*",""))</f>
        <v>ص‌‌ع‌</v>
      </c>
      <c r="AM60" s="93"/>
      <c r="AN60" s="92" t="str">
        <f>CONCATENATE( IF('اسفند 402'!AN64=1,"ص‌‌",""),IF('اسفند 402'!AO64=1,"ص‌'",""),IF('اسفند 402'!AN65=1,"ع‌",""),IF('اسفند 402'!AO65=1,"ع‌",""),IF('اسفند 402'!AN66=1,"ش‌",""),IF('اسفند 402'!AO66=1,"ش'‌",""), IF('اسفند 402'!AN64="*","",""), IF('اسفند 402'!AN64="@","*",""))</f>
        <v>*</v>
      </c>
      <c r="AO60" s="92"/>
      <c r="AP60" s="92" t="str">
        <f>CONCATENATE( IF('اسفند 402'!AP64=1,"ص‌‌",""),IF('اسفند 402'!AQ64=1,"ص‌'",""),IF('اسفند 402'!AP65=1,"ع‌",""),IF('اسفند 402'!AQ65=1,"ع‌",""),IF('اسفند 402'!AP66=1,"ش‌",""),IF('اسفند 402'!AQ66=1,"ش'‌",""), IF('اسفند 402'!AP64="*","",""), IF('اسفند 402'!AP64="@","*",""))</f>
        <v/>
      </c>
      <c r="AQ60" s="92"/>
      <c r="AR60" s="92" t="str">
        <f>CONCATENATE( IF('اسفند 402'!AR64=1,"ص‌‌",""),IF('اسفند 402'!AS64=1,"ص‌'",""),IF('اسفند 402'!AR65=1,"ع‌",""),IF('اسفند 402'!AS65=1,"ع‌",""),IF('اسفند 402'!AR66=1,"ش‌",""),IF('اسفند 402'!AS66=1,"ش'‌",""), IF('اسفند 402'!AR64="*","",""), IF('اسفند 402'!AR64="@","*",""))</f>
        <v/>
      </c>
      <c r="AS60" s="92"/>
      <c r="AT60" s="92" t="str">
        <f>CONCATENATE( IF('اسفند 402'!AT64=1,"ص‌‌",""),IF('اسفند 402'!AU64=1,"ص‌'",""),IF('اسفند 402'!AT65=1,"ع‌",""),IF('اسفند 402'!AU65=1,"ع‌",""),IF('اسفند 402'!AT66=1,"ش‌",""),IF('اسفند 402'!AU66=1,"ش'‌",""), IF('اسفند 402'!AT64="*","",""), IF('اسفند 402'!AT64="@","*",""))</f>
        <v>ش‌</v>
      </c>
      <c r="AU60" s="92"/>
      <c r="AV60" s="93" t="str">
        <f>CONCATENATE( IF('اسفند 402'!AV64=1,"ص‌‌",""),IF('اسفند 402'!AW64=1,"ص‌'",""),IF('اسفند 402'!AV65=1,"ع‌",""),IF('اسفند 402'!AW65=1,"ع‌",""),IF('اسفند 402'!AV66=1,"ش‌",""),IF('اسفند 402'!AW66=1,"ش'‌",""), IF('اسفند 402'!AV64="*","",""), IF('اسفند 402'!AV64="@","*",""))</f>
        <v/>
      </c>
      <c r="AW60" s="93"/>
      <c r="AX60" s="93" t="str">
        <f>CONCATENATE( IF('اسفند 402'!AX64=1,"ص‌‌",""),IF('اسفند 402'!AY64=1,"ص‌'",""),IF('اسفند 402'!AX65=1,"ع‌",""),IF('اسفند 402'!AY65=1,"ع‌",""),IF('اسفند 402'!AX66=1,"ش‌",""),IF('اسفند 402'!AY66=1,"ش'‌",""), IF('اسفند 402'!AX64="*","",""), IF('اسفند 402'!AX64="@","*",""))</f>
        <v>ع‌ش‌</v>
      </c>
      <c r="AY60" s="93"/>
      <c r="AZ60" s="93" t="str">
        <f>CONCATENATE( IF('اسفند 402'!AZ64=1,"ص‌‌",""),IF('اسفند 402'!BA64=1,"ص‌'",""),IF('اسفند 402'!AZ65=1,"ع‌",""),IF('اسفند 402'!BA65=1,"ع‌",""),IF('اسفند 402'!AZ66=1,"ش‌",""),IF('اسفند 402'!BA66=1,"ش'‌",""), IF('اسفند 402'!AZ64="*","",""), IF('اسفند 402'!AZ64="@","*",""))</f>
        <v/>
      </c>
      <c r="BA60" s="93"/>
      <c r="BB60" s="92" t="str">
        <f>CONCATENATE( IF('اسفند 402'!BB64=1,"ص‌‌",""),IF('اسفند 402'!BC64=1,"ص‌'",""),IF('اسفند 402'!BB65=1,"ع‌",""),IF('اسفند 402'!BC65=1,"ع‌",""),IF('اسفند 402'!BB66=1,"ش‌",""),IF('اسفند 402'!BC66=1,"ش'‌",""), IF('اسفند 402'!BB64="*","",""), IF('اسفند 402'!BB64="@","*",""))</f>
        <v/>
      </c>
      <c r="BC60" s="92"/>
      <c r="BD60" s="92" t="str">
        <f>CONCATENATE( IF('اسفند 402'!BD64=1,"ص‌‌",""),IF('اسفند 402'!BE64=1,"ص‌'",""),IF('اسفند 402'!BD65=1,"ع‌",""),IF('اسفند 402'!BE65=1,"ع‌",""),IF('اسفند 402'!BD66=1,"ش‌",""),IF('اسفند 402'!BE66=1,"ش'‌",""), IF('اسفند 402'!BD64="*","",""), IF('اسفند 402'!BD64="@","*",""))</f>
        <v/>
      </c>
      <c r="BE60" s="92"/>
      <c r="BF60" s="92" t="str">
        <f>CONCATENATE( IF('اسفند 402'!BF64=1,"ص‌‌",""),IF('اسفند 402'!BG64=1,"ص‌'",""),IF('اسفند 402'!BF65=1,"ع‌",""),IF('اسفند 402'!BG65=1,"ع‌",""),IF('اسفند 402'!BF66=1,"ش‌",""),IF('اسفند 402'!BG66=1,"ش'‌",""), IF('اسفند 402'!BF64="*","",""), IF('اسفند 402'!BF64="@","*",""))</f>
        <v>ع‌ش‌</v>
      </c>
      <c r="BG60" s="92"/>
      <c r="BH60" s="92" t="str">
        <f>CONCATENATE( IF('اسفند 402'!BH64=1,"ص‌‌",""),IF('اسفند 402'!BI64=1,"ص‌'",""),IF('اسفند 402'!BH65=1,"ع‌",""),IF('اسفند 402'!BI65=1,"ع‌",""),IF('اسفند 402'!BH66=1,"ش‌",""),IF('اسفند 402'!BI66=1,"ش'‌",""), IF('اسفند 402'!BH64="*","",""), IF('اسفند 402'!BH64="@","*",""))</f>
        <v/>
      </c>
      <c r="BI60" s="92"/>
      <c r="BJ60" s="92" t="str">
        <f>CONCATENATE( IF('اسفند 402'!BJ64=1,"ص‌‌",""),IF('اسفند 402'!BK64=1,"ص‌'",""),IF('اسفند 402'!BJ65=1,"ع‌",""),IF('اسفند 402'!BK65=1,"ع‌",""),IF('اسفند 402'!BJ66=1,"ش‌",""),IF('اسفند 402'!BK66=1,"ش'‌",""), IF('اسفند 402'!BJ64="*","",""), IF('اسفند 402'!BJ64="@","*",""))</f>
        <v/>
      </c>
      <c r="BK60" s="92"/>
      <c r="BL60" s="92" t="str">
        <f>CONCATENATE( IF('اسفند 402'!BL64=1,"ص‌‌",""),IF('اسفند 402'!BM64=1,"ص‌'",""),IF('اسفند 402'!BL65=1,"ع‌",""),IF('اسفند 402'!BM65=1,"ع‌",""),IF('اسفند 402'!BL66=1,"ش‌",""),IF('اسفند 402'!BM66=1,"ش'‌",""), IF('اسفند 402'!BL64="*","",""), IF('اسفند 402'!BL64="@","*",""))</f>
        <v>ع‌ش‌</v>
      </c>
      <c r="BM60" s="92"/>
      <c r="BN60" s="93" t="str">
        <f>CONCATENATE( IF('اسفند 402'!BN64=1,"ص‌‌",""),IF('اسفند 402'!BO64=1,"ص‌'",""),IF('اسفند 402'!BN65=1,"ع‌",""),IF('اسفند 402'!BO65=1,"ع‌",""),IF('اسفند 402'!BN66=1,"ش‌",""),IF('اسفند 402'!BO66=1,"ش'‌",""), IF('اسفند 402'!BN64="*","",""), IF('اسفند 402'!BN64="@","*",""))</f>
        <v/>
      </c>
      <c r="BO60" s="93"/>
      <c r="BP60" s="83">
        <f>'اسفند 402'!C65</f>
        <v>26</v>
      </c>
    </row>
    <row r="61" spans="1:68" s="33" customFormat="1" ht="6" customHeight="1" x14ac:dyDescent="0.25">
      <c r="A61" s="88"/>
      <c r="B61" s="86"/>
      <c r="C61" s="83"/>
      <c r="D61" s="112"/>
      <c r="E61" s="83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3"/>
      <c r="AM61" s="93"/>
      <c r="AN61" s="92"/>
      <c r="AO61" s="92"/>
      <c r="AP61" s="92"/>
      <c r="AQ61" s="92"/>
      <c r="AR61" s="92"/>
      <c r="AS61" s="92"/>
      <c r="AT61" s="92"/>
      <c r="AU61" s="92"/>
      <c r="AV61" s="93"/>
      <c r="AW61" s="93"/>
      <c r="AX61" s="93"/>
      <c r="AY61" s="93"/>
      <c r="AZ61" s="93"/>
      <c r="BA61" s="93"/>
      <c r="BB61" s="92"/>
      <c r="BC61" s="92"/>
      <c r="BD61" s="92"/>
      <c r="BE61" s="92"/>
      <c r="BF61" s="92"/>
      <c r="BG61" s="92"/>
      <c r="BH61" s="92"/>
      <c r="BI61" s="92"/>
      <c r="BJ61" s="92"/>
      <c r="BK61" s="92"/>
      <c r="BL61" s="92"/>
      <c r="BM61" s="92"/>
      <c r="BN61" s="93"/>
      <c r="BO61" s="93"/>
      <c r="BP61" s="83"/>
    </row>
    <row r="62" spans="1:68" s="33" customFormat="1" ht="6" customHeight="1" x14ac:dyDescent="0.25">
      <c r="A62" s="88"/>
      <c r="B62" s="87"/>
      <c r="C62" s="83"/>
      <c r="D62" s="112"/>
      <c r="E62" s="83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3"/>
      <c r="AM62" s="93"/>
      <c r="AN62" s="92"/>
      <c r="AO62" s="92"/>
      <c r="AP62" s="92"/>
      <c r="AQ62" s="92"/>
      <c r="AR62" s="92"/>
      <c r="AS62" s="92"/>
      <c r="AT62" s="92"/>
      <c r="AU62" s="92"/>
      <c r="AV62" s="93"/>
      <c r="AW62" s="93"/>
      <c r="AX62" s="93"/>
      <c r="AY62" s="93"/>
      <c r="AZ62" s="93"/>
      <c r="BA62" s="93"/>
      <c r="BB62" s="92"/>
      <c r="BC62" s="92"/>
      <c r="BD62" s="92"/>
      <c r="BE62" s="92"/>
      <c r="BF62" s="92"/>
      <c r="BG62" s="92"/>
      <c r="BH62" s="92"/>
      <c r="BI62" s="92"/>
      <c r="BJ62" s="92"/>
      <c r="BK62" s="92"/>
      <c r="BL62" s="92"/>
      <c r="BM62" s="92"/>
      <c r="BN62" s="93"/>
      <c r="BO62" s="93"/>
      <c r="BP62" s="83"/>
    </row>
    <row r="63" spans="1:68" s="33" customFormat="1" ht="6" customHeight="1" x14ac:dyDescent="0.25">
      <c r="A63" s="88"/>
      <c r="B63" s="85">
        <v>21</v>
      </c>
      <c r="C63" s="83" t="str">
        <f>'اسفند 402'!B67</f>
        <v>x20</v>
      </c>
      <c r="D63" s="112" t="s">
        <v>31</v>
      </c>
      <c r="E63" s="83">
        <v>0.3</v>
      </c>
      <c r="F63" s="92" t="str">
        <f>CONCATENATE( IF('اسفند 402'!F67=1,"ص‌‌",""),IF('اسفند 402'!G67=1,"ص‌'",""),IF('اسفند 402'!F68=1,"ع‌",""),IF('اسفند 402'!G68=1,"ع‌",""),IF('اسفند 402'!F69=1,"ش‌",""),IF('اسفند 402'!G69=1,"ش'‌",""), IF('اسفند 402'!F67="*","",""), IF('اسفند 402'!F67="@","*",""))</f>
        <v/>
      </c>
      <c r="G63" s="92"/>
      <c r="H63" s="92" t="str">
        <f>CONCATENATE( IF('اسفند 402'!H67=1,"ص‌‌",""),IF('اسفند 402'!I67=1,"ص‌'",""),IF('اسفند 402'!H68=1,"ع‌",""),IF('اسفند 402'!I68=1,"ع‌",""),IF('اسفند 402'!H69=1,"ش‌",""),IF('اسفند 402'!I69=1,"ش'‌",""), IF('اسفند 402'!H67="*","",""), IF('اسفند 402'!H67="@","*",""))</f>
        <v>ص‌‌ع‌</v>
      </c>
      <c r="I63" s="92"/>
      <c r="J63" s="92" t="str">
        <f>CONCATENATE( IF('اسفند 402'!J67=1,"ص‌‌",""),IF('اسفند 402'!K67=1,"ص‌'",""),IF('اسفند 402'!J68=1,"ع‌",""),IF('اسفند 402'!K68=1,"ع‌",""),IF('اسفند 402'!J69=1,"ش‌",""),IF('اسفند 402'!K69=1,"ش'‌",""), IF('اسفند 402'!J67="*","",""), IF('اسفند 402'!J67="@","*",""))</f>
        <v>ص‌‌ع‌</v>
      </c>
      <c r="K63" s="92"/>
      <c r="L63" s="92" t="str">
        <f>CONCATENATE( IF('اسفند 402'!L67=1,"ص‌‌",""),IF('اسفند 402'!M67=1,"ص‌'",""),IF('اسفند 402'!L68=1,"ع‌",""),IF('اسفند 402'!M68=1,"ع‌",""),IF('اسفند 402'!L69=1,"ش‌",""),IF('اسفند 402'!M69=1,"ش'‌",""), IF('اسفند 402'!L67="*","",""), IF('اسفند 402'!L67="@","*",""))</f>
        <v>ع‌ش‌</v>
      </c>
      <c r="M63" s="92"/>
      <c r="N63" s="92" t="str">
        <f>CONCATENATE( IF('اسفند 402'!N67=1,"ص‌‌",""),IF('اسفند 402'!O67=1,"ص‌'",""),IF('اسفند 402'!N68=1,"ع‌",""),IF('اسفند 402'!O68=1,"ع‌",""),IF('اسفند 402'!N69=1,"ش‌",""),IF('اسفند 402'!O69=1,"ش'‌",""), IF('اسفند 402'!N67="*","",""), IF('اسفند 402'!N67="@","*",""))</f>
        <v/>
      </c>
      <c r="O63" s="92"/>
      <c r="P63" s="92" t="str">
        <f>CONCATENATE( IF('اسفند 402'!P67=1,"ص‌‌",""),IF('اسفند 402'!Q67=1,"ص‌'",""),IF('اسفند 402'!P68=1,"ع‌",""),IF('اسفند 402'!Q68=1,"ع‌",""),IF('اسفند 402'!P69=1,"ش‌",""),IF('اسفند 402'!Q69=1,"ش'‌",""), IF('اسفند 402'!P67="*","",""), IF('اسفند 402'!P67="@","*",""))</f>
        <v>ص‌‌ع‌</v>
      </c>
      <c r="Q63" s="92"/>
      <c r="R63" s="92" t="str">
        <f>CONCATENATE( IF('اسفند 402'!R67=1,"ص‌‌",""),IF('اسفند 402'!S67=1,"ص‌'",""),IF('اسفند 402'!R68=1,"ع‌",""),IF('اسفند 402'!S68=1,"ع‌",""),IF('اسفند 402'!R69=1,"ش‌",""),IF('اسفند 402'!S69=1,"ش'‌",""), IF('اسفند 402'!R67="*","",""), IF('اسفند 402'!R67="@","*",""))</f>
        <v/>
      </c>
      <c r="S63" s="92"/>
      <c r="T63" s="92" t="str">
        <f>CONCATENATE( IF('اسفند 402'!T67=1,"ص‌‌",""),IF('اسفند 402'!U67=1,"ص‌'",""),IF('اسفند 402'!T68=1,"ع‌",""),IF('اسفند 402'!U68=1,"ع‌",""),IF('اسفند 402'!T69=1,"ش‌",""),IF('اسفند 402'!U69=1,"ش'‌",""), IF('اسفند 402'!T67="*","",""), IF('اسفند 402'!T67="@","*",""))</f>
        <v/>
      </c>
      <c r="U63" s="92"/>
      <c r="V63" s="92" t="str">
        <f>CONCATENATE( IF('اسفند 402'!V67=1,"ص‌‌",""),IF('اسفند 402'!W67=1,"ص‌'",""),IF('اسفند 402'!V68=1,"ع‌",""),IF('اسفند 402'!W68=1,"ع‌",""),IF('اسفند 402'!V69=1,"ش‌",""),IF('اسفند 402'!W69=1,"ش'‌",""), IF('اسفند 402'!V67="*","",""), IF('اسفند 402'!V67="@","*",""))</f>
        <v/>
      </c>
      <c r="W63" s="92"/>
      <c r="X63" s="92" t="str">
        <f>CONCATENATE( IF('اسفند 402'!X67=1,"ص‌‌",""),IF('اسفند 402'!Y67=1,"ص‌'",""),IF('اسفند 402'!X68=1,"ع‌",""),IF('اسفند 402'!Y68=1,"ع‌",""),IF('اسفند 402'!X69=1,"ش‌",""),IF('اسفند 402'!Y69=1,"ش'‌",""), IF('اسفند 402'!X67="*","",""), IF('اسفند 402'!X67="@","*",""))</f>
        <v/>
      </c>
      <c r="Y63" s="92"/>
      <c r="Z63" s="92" t="str">
        <f>CONCATENATE( IF('اسفند 402'!Z67=1,"ص‌‌",""),IF('اسفند 402'!AA67=1,"ص‌'",""),IF('اسفند 402'!Z68=1,"ع‌",""),IF('اسفند 402'!AA68=1,"ع‌",""),IF('اسفند 402'!Z69=1,"ش‌",""),IF('اسفند 402'!AA69=1,"ش'‌",""), IF('اسفند 402'!Z67="*","",""), IF('اسفند 402'!Z67="@","*",""))</f>
        <v/>
      </c>
      <c r="AA63" s="92"/>
      <c r="AB63" s="92" t="str">
        <f>CONCATENATE( IF('اسفند 402'!AB67=1,"ص‌‌",""),IF('اسفند 402'!AC67=1,"ص‌'",""),IF('اسفند 402'!AB68=1,"ع‌",""),IF('اسفند 402'!AC68=1,"ع‌",""),IF('اسفند 402'!AB69=1,"ش‌",""),IF('اسفند 402'!AC69=1,"ش'‌",""), IF('اسفند 402'!AB67="*","",""), IF('اسفند 402'!AB67="@","*",""))</f>
        <v/>
      </c>
      <c r="AC63" s="92"/>
      <c r="AD63" s="92" t="str">
        <f>CONCATENATE( IF('اسفند 402'!AD67=1,"ص‌‌",""),IF('اسفند 402'!AE67=1,"ص‌'",""),IF('اسفند 402'!AD68=1,"ع‌",""),IF('اسفند 402'!AE68=1,"ع‌",""),IF('اسفند 402'!AD69=1,"ش‌",""),IF('اسفند 402'!AE69=1,"ش'‌",""), IF('اسفند 402'!AD67="*","",""), IF('اسفند 402'!AD67="@","*",""))</f>
        <v/>
      </c>
      <c r="AE63" s="92"/>
      <c r="AF63" s="92" t="str">
        <f>CONCATENATE( IF('اسفند 402'!AF67=1,"ص‌‌",""),IF('اسفند 402'!AG67=1,"ص‌'",""),IF('اسفند 402'!AF68=1,"ع‌",""),IF('اسفند 402'!AG68=1,"ع‌",""),IF('اسفند 402'!AF69=1,"ش‌",""),IF('اسفند 402'!AG69=1,"ش'‌",""), IF('اسفند 402'!AF67="*","",""), IF('اسفند 402'!AF67="@","*",""))</f>
        <v>ص‌‌</v>
      </c>
      <c r="AG63" s="92"/>
      <c r="AH63" s="92" t="str">
        <f>CONCATENATE( IF('اسفند 402'!AH67=1,"ص‌‌",""),IF('اسفند 402'!AI67=1,"ص‌'",""),IF('اسفند 402'!AH68=1,"ع‌",""),IF('اسفند 402'!AI68=1,"ع‌",""),IF('اسفند 402'!AH69=1,"ش‌",""),IF('اسفند 402'!AI69=1,"ش'‌",""), IF('اسفند 402'!AH67="*","",""), IF('اسفند 402'!AH67="@","*",""))</f>
        <v/>
      </c>
      <c r="AI63" s="92"/>
      <c r="AJ63" s="92" t="str">
        <f>CONCATENATE( IF('اسفند 402'!AJ67=1,"ص‌‌",""),IF('اسفند 402'!AK67=1,"ص‌'",""),IF('اسفند 402'!AJ68=1,"ع‌",""),IF('اسفند 402'!AK68=1,"ع‌",""),IF('اسفند 402'!AJ69=1,"ش‌",""),IF('اسفند 402'!AK69=1,"ش'‌",""), IF('اسفند 402'!AJ67="*","",""), IF('اسفند 402'!AJ67="@","*",""))</f>
        <v>ش‌</v>
      </c>
      <c r="AK63" s="92"/>
      <c r="AL63" s="93" t="str">
        <f>CONCATENATE( IF('اسفند 402'!AL67=1,"ص‌‌",""),IF('اسفند 402'!AM67=1,"ص‌'",""),IF('اسفند 402'!AL68=1,"ع‌",""),IF('اسفند 402'!AM68=1,"ع‌",""),IF('اسفند 402'!AL69=1,"ش‌",""),IF('اسفند 402'!AM69=1,"ش'‌",""), IF('اسفند 402'!AL67="*","",""), IF('اسفند 402'!AL67="@","*",""))</f>
        <v/>
      </c>
      <c r="AM63" s="93"/>
      <c r="AN63" s="92" t="str">
        <f>CONCATENATE( IF('اسفند 402'!AN67=1,"ص‌‌",""),IF('اسفند 402'!AO67=1,"ص‌'",""),IF('اسفند 402'!AN68=1,"ع‌",""),IF('اسفند 402'!AO68=1,"ع‌",""),IF('اسفند 402'!AN69=1,"ش‌",""),IF('اسفند 402'!AO69=1,"ش'‌",""), IF('اسفند 402'!AN67="*","",""), IF('اسفند 402'!AN67="@","*",""))</f>
        <v/>
      </c>
      <c r="AO63" s="92"/>
      <c r="AP63" s="92" t="str">
        <f>CONCATENATE( IF('اسفند 402'!AP67=1,"ص‌‌",""),IF('اسفند 402'!AQ67=1,"ص‌'",""),IF('اسفند 402'!AP68=1,"ع‌",""),IF('اسفند 402'!AQ68=1,"ع‌",""),IF('اسفند 402'!AP69=1,"ش‌",""),IF('اسفند 402'!AQ69=1,"ش'‌",""), IF('اسفند 402'!AP67="*","",""), IF('اسفند 402'!AP67="@","*",""))</f>
        <v>ص‌‌ش‌</v>
      </c>
      <c r="AQ63" s="92"/>
      <c r="AR63" s="92" t="str">
        <f>CONCATENATE( IF('اسفند 402'!AR67=1,"ص‌‌",""),IF('اسفند 402'!AS67=1,"ص‌'",""),IF('اسفند 402'!AR68=1,"ع‌",""),IF('اسفند 402'!AS68=1,"ع‌",""),IF('اسفند 402'!AR69=1,"ش‌",""),IF('اسفند 402'!AS69=1,"ش'‌",""), IF('اسفند 402'!AR67="*","",""), IF('اسفند 402'!AR67="@","*",""))</f>
        <v/>
      </c>
      <c r="AS63" s="92"/>
      <c r="AT63" s="92" t="str">
        <f>CONCATENATE( IF('اسفند 402'!AT67=1,"ص‌‌",""),IF('اسفند 402'!AU67=1,"ص‌'",""),IF('اسفند 402'!AT68=1,"ع‌",""),IF('اسفند 402'!AU68=1,"ع‌",""),IF('اسفند 402'!AT69=1,"ش‌",""),IF('اسفند 402'!AU69=1,"ش'‌",""), IF('اسفند 402'!AT67="*","",""), IF('اسفند 402'!AT67="@","*",""))</f>
        <v>ص‌‌ع‌</v>
      </c>
      <c r="AU63" s="92"/>
      <c r="AV63" s="93" t="str">
        <f>CONCATENATE( IF('اسفند 402'!AV67=1,"ص‌‌",""),IF('اسفند 402'!AW67=1,"ص‌'",""),IF('اسفند 402'!AV68=1,"ع‌",""),IF('اسفند 402'!AW68=1,"ع‌",""),IF('اسفند 402'!AV69=1,"ش‌",""),IF('اسفند 402'!AW69=1,"ش'‌",""), IF('اسفند 402'!AV67="*","",""), IF('اسفند 402'!AV67="@","*",""))</f>
        <v/>
      </c>
      <c r="AW63" s="93"/>
      <c r="AX63" s="93" t="str">
        <f>CONCATENATE( IF('اسفند 402'!AX67=1,"ص‌‌",""),IF('اسفند 402'!AY67=1,"ص‌'",""),IF('اسفند 402'!AX68=1,"ع‌",""),IF('اسفند 402'!AY68=1,"ع‌",""),IF('اسفند 402'!AX69=1,"ش‌",""),IF('اسفند 402'!AY69=1,"ش'‌",""), IF('اسفند 402'!AX67="*","",""), IF('اسفند 402'!AX67="@","*",""))</f>
        <v>ص‌‌</v>
      </c>
      <c r="AY63" s="93"/>
      <c r="AZ63" s="93" t="str">
        <f>CONCATENATE( IF('اسفند 402'!AZ67=1,"ص‌‌",""),IF('اسفند 402'!BA67=1,"ص‌'",""),IF('اسفند 402'!AZ68=1,"ع‌",""),IF('اسفند 402'!BA68=1,"ع‌",""),IF('اسفند 402'!AZ69=1,"ش‌",""),IF('اسفند 402'!BA69=1,"ش'‌",""), IF('اسفند 402'!AZ67="*","",""), IF('اسفند 402'!AZ67="@","*",""))</f>
        <v>ص‌‌ش‌</v>
      </c>
      <c r="BA63" s="93"/>
      <c r="BB63" s="92" t="str">
        <f>CONCATENATE( IF('اسفند 402'!BB67=1,"ص‌‌",""),IF('اسفند 402'!BC67=1,"ص‌'",""),IF('اسفند 402'!BB68=1,"ع‌",""),IF('اسفند 402'!BC68=1,"ع‌",""),IF('اسفند 402'!BB69=1,"ش‌",""),IF('اسفند 402'!BC69=1,"ش'‌",""), IF('اسفند 402'!BB67="*","",""), IF('اسفند 402'!BB67="@","*",""))</f>
        <v/>
      </c>
      <c r="BC63" s="92"/>
      <c r="BD63" s="92" t="str">
        <f>CONCATENATE( IF('اسفند 402'!BD67=1,"ص‌‌",""),IF('اسفند 402'!BE67=1,"ص‌'",""),IF('اسفند 402'!BD68=1,"ع‌",""),IF('اسفند 402'!BE68=1,"ع‌",""),IF('اسفند 402'!BD69=1,"ش‌",""),IF('اسفند 402'!BE69=1,"ش'‌",""), IF('اسفند 402'!BD67="*","",""), IF('اسفند 402'!BD67="@","*",""))</f>
        <v>ش‌</v>
      </c>
      <c r="BE63" s="92"/>
      <c r="BF63" s="92" t="str">
        <f>CONCATENATE( IF('اسفند 402'!BF67=1,"ص‌‌",""),IF('اسفند 402'!BG67=1,"ص‌'",""),IF('اسفند 402'!BF68=1,"ع‌",""),IF('اسفند 402'!BG68=1,"ع‌",""),IF('اسفند 402'!BF69=1,"ش‌",""),IF('اسفند 402'!BG69=1,"ش'‌",""), IF('اسفند 402'!BF67="*","",""), IF('اسفند 402'!BF67="@","*",""))</f>
        <v>*</v>
      </c>
      <c r="BG63" s="92"/>
      <c r="BH63" s="92" t="str">
        <f>CONCATENATE( IF('اسفند 402'!BH67=1,"ص‌‌",""),IF('اسفند 402'!BI67=1,"ص‌'",""),IF('اسفند 402'!BH68=1,"ع‌",""),IF('اسفند 402'!BI68=1,"ع‌",""),IF('اسفند 402'!BH69=1,"ش‌",""),IF('اسفند 402'!BI69=1,"ش'‌",""), IF('اسفند 402'!BH67="*","",""), IF('اسفند 402'!BH67="@","*",""))</f>
        <v/>
      </c>
      <c r="BI63" s="92"/>
      <c r="BJ63" s="92" t="str">
        <f>CONCATENATE( IF('اسفند 402'!BJ67=1,"ص‌‌",""),IF('اسفند 402'!BK67=1,"ص‌'",""),IF('اسفند 402'!BJ68=1,"ع‌",""),IF('اسفند 402'!BK68=1,"ع‌",""),IF('اسفند 402'!BJ69=1,"ش‌",""),IF('اسفند 402'!BK69=1,"ش'‌",""), IF('اسفند 402'!BJ67="*","",""), IF('اسفند 402'!BJ67="@","*",""))</f>
        <v>ص‌‌ش‌</v>
      </c>
      <c r="BK63" s="92"/>
      <c r="BL63" s="92" t="str">
        <f>CONCATENATE( IF('اسفند 402'!BL67=1,"ص‌‌",""),IF('اسفند 402'!BM67=1,"ص‌'",""),IF('اسفند 402'!BL68=1,"ع‌",""),IF('اسفند 402'!BM68=1,"ع‌",""),IF('اسفند 402'!BL69=1,"ش‌",""),IF('اسفند 402'!BM69=1,"ش'‌",""), IF('اسفند 402'!BL67="*","",""), IF('اسفند 402'!BL67="@","*",""))</f>
        <v/>
      </c>
      <c r="BM63" s="92"/>
      <c r="BN63" s="93" t="str">
        <f>CONCATENATE( IF('اسفند 402'!BN67=1,"ص‌‌",""),IF('اسفند 402'!BO67=1,"ص‌'",""),IF('اسفند 402'!BN68=1,"ع‌",""),IF('اسفند 402'!BO68=1,"ع‌",""),IF('اسفند 402'!BN69=1,"ش‌",""),IF('اسفند 402'!BO69=1,"ش'‌",""), IF('اسفند 402'!BN67="*","",""), IF('اسفند 402'!BN67="@","*",""))</f>
        <v/>
      </c>
      <c r="BO63" s="93"/>
      <c r="BP63" s="83">
        <f>'اسفند 402'!C68</f>
        <v>26</v>
      </c>
    </row>
    <row r="64" spans="1:68" s="33" customFormat="1" ht="6" customHeight="1" x14ac:dyDescent="0.25">
      <c r="A64" s="88"/>
      <c r="B64" s="86"/>
      <c r="C64" s="83"/>
      <c r="D64" s="112"/>
      <c r="E64" s="83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3"/>
      <c r="AM64" s="93"/>
      <c r="AN64" s="92"/>
      <c r="AO64" s="92"/>
      <c r="AP64" s="92"/>
      <c r="AQ64" s="92"/>
      <c r="AR64" s="92"/>
      <c r="AS64" s="92"/>
      <c r="AT64" s="92"/>
      <c r="AU64" s="92"/>
      <c r="AV64" s="93"/>
      <c r="AW64" s="93"/>
      <c r="AX64" s="93"/>
      <c r="AY64" s="93"/>
      <c r="AZ64" s="93"/>
      <c r="BA64" s="93"/>
      <c r="BB64" s="92"/>
      <c r="BC64" s="92"/>
      <c r="BD64" s="92"/>
      <c r="BE64" s="92"/>
      <c r="BF64" s="92"/>
      <c r="BG64" s="92"/>
      <c r="BH64" s="92"/>
      <c r="BI64" s="92"/>
      <c r="BJ64" s="92"/>
      <c r="BK64" s="92"/>
      <c r="BL64" s="92"/>
      <c r="BM64" s="92"/>
      <c r="BN64" s="93"/>
      <c r="BO64" s="93"/>
      <c r="BP64" s="83"/>
    </row>
    <row r="65" spans="1:68" s="33" customFormat="1" ht="6" customHeight="1" x14ac:dyDescent="0.25">
      <c r="A65" s="88"/>
      <c r="B65" s="87"/>
      <c r="C65" s="83"/>
      <c r="D65" s="112"/>
      <c r="E65" s="83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3"/>
      <c r="AM65" s="93"/>
      <c r="AN65" s="92"/>
      <c r="AO65" s="92"/>
      <c r="AP65" s="92"/>
      <c r="AQ65" s="92"/>
      <c r="AR65" s="92"/>
      <c r="AS65" s="92"/>
      <c r="AT65" s="92"/>
      <c r="AU65" s="92"/>
      <c r="AV65" s="93"/>
      <c r="AW65" s="93"/>
      <c r="AX65" s="93"/>
      <c r="AY65" s="93"/>
      <c r="AZ65" s="93"/>
      <c r="BA65" s="93"/>
      <c r="BB65" s="92"/>
      <c r="BC65" s="92"/>
      <c r="BD65" s="92"/>
      <c r="BE65" s="92"/>
      <c r="BF65" s="92"/>
      <c r="BG65" s="92"/>
      <c r="BH65" s="92"/>
      <c r="BI65" s="92"/>
      <c r="BJ65" s="92"/>
      <c r="BK65" s="92"/>
      <c r="BL65" s="92"/>
      <c r="BM65" s="92"/>
      <c r="BN65" s="93"/>
      <c r="BO65" s="93"/>
      <c r="BP65" s="83"/>
    </row>
    <row r="66" spans="1:68" s="33" customFormat="1" ht="6" customHeight="1" x14ac:dyDescent="0.25">
      <c r="A66" s="88"/>
      <c r="B66" s="85">
        <v>22</v>
      </c>
      <c r="C66" s="83" t="str">
        <f>'اسفند 402'!B70</f>
        <v>x21</v>
      </c>
      <c r="D66" s="112" t="s">
        <v>31</v>
      </c>
      <c r="E66" s="83">
        <v>0.3</v>
      </c>
      <c r="F66" s="92" t="str">
        <f>CONCATENATE( IF('اسفند 402'!F70=1,"ص‌‌",""),IF('اسفند 402'!G70=1,"ص‌'",""),IF('اسفند 402'!F71=1,"ع‌",""),IF('اسفند 402'!G71=1,"ع‌",""),IF('اسفند 402'!F72=1,"ش‌",""),IF('اسفند 402'!G72=1,"ش'‌",""), IF('اسفند 402'!F70="*","",""), IF('اسفند 402'!F70="@","*",""))</f>
        <v>ص‌‌ش‌</v>
      </c>
      <c r="G66" s="92"/>
      <c r="H66" s="92" t="str">
        <f>CONCATENATE( IF('اسفند 402'!H70=1,"ص‌‌",""),IF('اسفند 402'!I70=1,"ص‌'",""),IF('اسفند 402'!H71=1,"ع‌",""),IF('اسفند 402'!I71=1,"ع‌",""),IF('اسفند 402'!H72=1,"ش‌",""),IF('اسفند 402'!I72=1,"ش'‌",""), IF('اسفند 402'!H70="*","",""), IF('اسفند 402'!H70="@","*",""))</f>
        <v/>
      </c>
      <c r="I66" s="92"/>
      <c r="J66" s="92" t="str">
        <f>CONCATENATE( IF('اسفند 402'!J70=1,"ص‌‌",""),IF('اسفند 402'!K70=1,"ص‌'",""),IF('اسفند 402'!J71=1,"ع‌",""),IF('اسفند 402'!K71=1,"ع‌",""),IF('اسفند 402'!J72=1,"ش‌",""),IF('اسفند 402'!K72=1,"ش'‌",""), IF('اسفند 402'!J70="*","",""), IF('اسفند 402'!J70="@","*",""))</f>
        <v>ص‌‌ع‌</v>
      </c>
      <c r="K66" s="92"/>
      <c r="L66" s="92" t="str">
        <f>CONCATENATE( IF('اسفند 402'!L70=1,"ص‌‌",""),IF('اسفند 402'!M70=1,"ص‌'",""),IF('اسفند 402'!L71=1,"ع‌",""),IF('اسفند 402'!M71=1,"ع‌",""),IF('اسفند 402'!L72=1,"ش‌",""),IF('اسفند 402'!M72=1,"ش'‌",""), IF('اسفند 402'!L70="*","",""), IF('اسفند 402'!L70="@","*",""))</f>
        <v>ع‌ش‌</v>
      </c>
      <c r="M66" s="92"/>
      <c r="N66" s="92" t="str">
        <f>CONCATENATE( IF('اسفند 402'!N70=1,"ص‌‌",""),IF('اسفند 402'!O70=1,"ص‌'",""),IF('اسفند 402'!N71=1,"ع‌",""),IF('اسفند 402'!O71=1,"ع‌",""),IF('اسفند 402'!N72=1,"ش‌",""),IF('اسفند 402'!O72=1,"ش'‌",""), IF('اسفند 402'!N70="*","",""), IF('اسفند 402'!N70="@","*",""))</f>
        <v/>
      </c>
      <c r="O66" s="92"/>
      <c r="P66" s="92" t="str">
        <f>CONCATENATE( IF('اسفند 402'!P70=1,"ص‌‌",""),IF('اسفند 402'!Q70=1,"ص‌'",""),IF('اسفند 402'!P71=1,"ع‌",""),IF('اسفند 402'!Q71=1,"ع‌",""),IF('اسفند 402'!P72=1,"ش‌",""),IF('اسفند 402'!Q72=1,"ش'‌",""), IF('اسفند 402'!P70="*","",""), IF('اسفند 402'!P70="@","*",""))</f>
        <v>ع‌ش‌</v>
      </c>
      <c r="Q66" s="92"/>
      <c r="R66" s="92" t="str">
        <f>CONCATENATE( IF('اسفند 402'!R70=1,"ص‌‌",""),IF('اسفند 402'!S70=1,"ص‌'",""),IF('اسفند 402'!R71=1,"ع‌",""),IF('اسفند 402'!S71=1,"ع‌",""),IF('اسفند 402'!R72=1,"ش‌",""),IF('اسفند 402'!S72=1,"ش'‌",""), IF('اسفند 402'!R70="*","",""), IF('اسفند 402'!R70="@","*",""))</f>
        <v/>
      </c>
      <c r="S66" s="92"/>
      <c r="T66" s="92" t="str">
        <f>CONCATENATE( IF('اسفند 402'!T70=1,"ص‌‌",""),IF('اسفند 402'!U70=1,"ص‌'",""),IF('اسفند 402'!T71=1,"ع‌",""),IF('اسفند 402'!U71=1,"ع‌",""),IF('اسفند 402'!T72=1,"ش‌",""),IF('اسفند 402'!U72=1,"ش'‌",""), IF('اسفند 402'!T70="*","",""), IF('اسفند 402'!T70="@","*",""))</f>
        <v/>
      </c>
      <c r="U66" s="92"/>
      <c r="V66" s="92" t="str">
        <f>CONCATENATE( IF('اسفند 402'!V70=1,"ص‌‌",""),IF('اسفند 402'!W70=1,"ص‌'",""),IF('اسفند 402'!V71=1,"ع‌",""),IF('اسفند 402'!W71=1,"ع‌",""),IF('اسفند 402'!V72=1,"ش‌",""),IF('اسفند 402'!W72=1,"ش'‌",""), IF('اسفند 402'!V70="*","",""), IF('اسفند 402'!V70="@","*",""))</f>
        <v/>
      </c>
      <c r="W66" s="92"/>
      <c r="X66" s="92" t="str">
        <f>CONCATENATE( IF('اسفند 402'!X70=1,"ص‌‌",""),IF('اسفند 402'!Y70=1,"ص‌'",""),IF('اسفند 402'!X71=1,"ع‌",""),IF('اسفند 402'!Y71=1,"ع‌",""),IF('اسفند 402'!X72=1,"ش‌",""),IF('اسفند 402'!Y72=1,"ش'‌",""), IF('اسفند 402'!X70="*","",""), IF('اسفند 402'!X70="@","*",""))</f>
        <v/>
      </c>
      <c r="Y66" s="92"/>
      <c r="Z66" s="92" t="str">
        <f>CONCATENATE( IF('اسفند 402'!Z70=1,"ص‌‌",""),IF('اسفند 402'!AA70=1,"ص‌'",""),IF('اسفند 402'!Z71=1,"ع‌",""),IF('اسفند 402'!AA71=1,"ع‌",""),IF('اسفند 402'!Z72=1,"ش‌",""),IF('اسفند 402'!AA72=1,"ش'‌",""), IF('اسفند 402'!Z70="*","",""), IF('اسفند 402'!Z70="@","*",""))</f>
        <v/>
      </c>
      <c r="AA66" s="92"/>
      <c r="AB66" s="92" t="str">
        <f>CONCATENATE( IF('اسفند 402'!AB70=1,"ص‌‌",""),IF('اسفند 402'!AC70=1,"ص‌'",""),IF('اسفند 402'!AB71=1,"ع‌",""),IF('اسفند 402'!AC71=1,"ع‌",""),IF('اسفند 402'!AB72=1,"ش‌",""),IF('اسفند 402'!AC72=1,"ش'‌",""), IF('اسفند 402'!AB70="*","",""), IF('اسفند 402'!AB70="@","*",""))</f>
        <v/>
      </c>
      <c r="AC66" s="92"/>
      <c r="AD66" s="92" t="str">
        <f>CONCATENATE( IF('اسفند 402'!AD70=1,"ص‌‌",""),IF('اسفند 402'!AE70=1,"ص‌'",""),IF('اسفند 402'!AD71=1,"ع‌",""),IF('اسفند 402'!AE71=1,"ع‌",""),IF('اسفند 402'!AD72=1,"ش‌",""),IF('اسفند 402'!AE72=1,"ش'‌",""), IF('اسفند 402'!AD70="*","",""), IF('اسفند 402'!AD70="@","*",""))</f>
        <v/>
      </c>
      <c r="AE66" s="92"/>
      <c r="AF66" s="92" t="str">
        <f>CONCATENATE( IF('اسفند 402'!AF70=1,"ص‌‌",""),IF('اسفند 402'!AG70=1,"ص‌'",""),IF('اسفند 402'!AF71=1,"ع‌",""),IF('اسفند 402'!AG71=1,"ع‌",""),IF('اسفند 402'!AF72=1,"ش‌",""),IF('اسفند 402'!AG72=1,"ش'‌",""), IF('اسفند 402'!AF70="*","",""), IF('اسفند 402'!AF70="@","*",""))</f>
        <v>ص‌‌</v>
      </c>
      <c r="AG66" s="92"/>
      <c r="AH66" s="92" t="str">
        <f>CONCATENATE( IF('اسفند 402'!AH70=1,"ص‌‌",""),IF('اسفند 402'!AI70=1,"ص‌'",""),IF('اسفند 402'!AH71=1,"ع‌",""),IF('اسفند 402'!AI71=1,"ع‌",""),IF('اسفند 402'!AH72=1,"ش‌",""),IF('اسفند 402'!AI72=1,"ش'‌",""), IF('اسفند 402'!AH70="*","",""), IF('اسفند 402'!AH70="@","*",""))</f>
        <v>ع‌ش‌</v>
      </c>
      <c r="AI66" s="92"/>
      <c r="AJ66" s="92" t="str">
        <f>CONCATENATE( IF('اسفند 402'!AJ70=1,"ص‌‌",""),IF('اسفند 402'!AK70=1,"ص‌'",""),IF('اسفند 402'!AJ71=1,"ع‌",""),IF('اسفند 402'!AK71=1,"ع‌",""),IF('اسفند 402'!AJ72=1,"ش‌",""),IF('اسفند 402'!AK72=1,"ش'‌",""), IF('اسفند 402'!AJ70="*","",""), IF('اسفند 402'!AJ70="@","*",""))</f>
        <v/>
      </c>
      <c r="AK66" s="92"/>
      <c r="AL66" s="93" t="str">
        <f>CONCATENATE( IF('اسفند 402'!AL70=1,"ص‌‌",""),IF('اسفند 402'!AM70=1,"ص‌'",""),IF('اسفند 402'!AL71=1,"ع‌",""),IF('اسفند 402'!AM71=1,"ع‌",""),IF('اسفند 402'!AL72=1,"ش‌",""),IF('اسفند 402'!AM72=1,"ش'‌",""), IF('اسفند 402'!AL70="*","",""), IF('اسفند 402'!AL70="@","*",""))</f>
        <v>ع‌ش‌</v>
      </c>
      <c r="AM66" s="93"/>
      <c r="AN66" s="92" t="str">
        <f>CONCATENATE( IF('اسفند 402'!AN70=1,"ص‌‌",""),IF('اسفند 402'!AO70=1,"ص‌'",""),IF('اسفند 402'!AN71=1,"ع‌",""),IF('اسفند 402'!AO71=1,"ع‌",""),IF('اسفند 402'!AN72=1,"ش‌",""),IF('اسفند 402'!AO72=1,"ش'‌",""), IF('اسفند 402'!AN70="*","",""), IF('اسفند 402'!AN70="@","*",""))</f>
        <v/>
      </c>
      <c r="AO66" s="92"/>
      <c r="AP66" s="92" t="str">
        <f>CONCATENATE( IF('اسفند 402'!AP70=1,"ص‌‌",""),IF('اسفند 402'!AQ70=1,"ص‌'",""),IF('اسفند 402'!AP71=1,"ع‌",""),IF('اسفند 402'!AQ71=1,"ع‌",""),IF('اسفند 402'!AP72=1,"ش‌",""),IF('اسفند 402'!AQ72=1,"ش'‌",""), IF('اسفند 402'!AP70="*","",""), IF('اسفند 402'!AP70="@","*",""))</f>
        <v>ع‌ش‌</v>
      </c>
      <c r="AQ66" s="92"/>
      <c r="AR66" s="92" t="str">
        <f>CONCATENATE( IF('اسفند 402'!AR70=1,"ص‌‌",""),IF('اسفند 402'!AS70=1,"ص‌'",""),IF('اسفند 402'!AR71=1,"ع‌",""),IF('اسفند 402'!AS71=1,"ع‌",""),IF('اسفند 402'!AR72=1,"ش‌",""),IF('اسفند 402'!AS72=1,"ش'‌",""), IF('اسفند 402'!AR70="*","",""), IF('اسفند 402'!AR70="@","*",""))</f>
        <v>*</v>
      </c>
      <c r="AS66" s="92"/>
      <c r="AT66" s="92" t="str">
        <f>CONCATENATE( IF('اسفند 402'!AT70=1,"ص‌‌",""),IF('اسفند 402'!AU70=1,"ص‌'",""),IF('اسفند 402'!AT71=1,"ع‌",""),IF('اسفند 402'!AU71=1,"ع‌",""),IF('اسفند 402'!AT72=1,"ش‌",""),IF('اسفند 402'!AU72=1,"ش'‌",""), IF('اسفند 402'!AT70="*","",""), IF('اسفند 402'!AT70="@","*",""))</f>
        <v/>
      </c>
      <c r="AU66" s="92"/>
      <c r="AV66" s="93" t="str">
        <f>CONCATENATE( IF('اسفند 402'!AV70=1,"ص‌‌",""),IF('اسفند 402'!AW70=1,"ص‌'",""),IF('اسفند 402'!AV71=1,"ع‌",""),IF('اسفند 402'!AW71=1,"ع‌",""),IF('اسفند 402'!AV72=1,"ش‌",""),IF('اسفند 402'!AW72=1,"ش'‌",""), IF('اسفند 402'!AV70="*","",""), IF('اسفند 402'!AV70="@","*",""))</f>
        <v/>
      </c>
      <c r="AW66" s="93"/>
      <c r="AX66" s="93" t="str">
        <f>CONCATENATE( IF('اسفند 402'!AX70=1,"ص‌‌",""),IF('اسفند 402'!AY70=1,"ص‌'",""),IF('اسفند 402'!AX71=1,"ع‌",""),IF('اسفند 402'!AY71=1,"ع‌",""),IF('اسفند 402'!AX72=1,"ش‌",""),IF('اسفند 402'!AY72=1,"ش'‌",""), IF('اسفند 402'!AX70="*","",""), IF('اسفند 402'!AX70="@","*",""))</f>
        <v/>
      </c>
      <c r="AY66" s="93"/>
      <c r="AZ66" s="93" t="str">
        <f>CONCATENATE( IF('اسفند 402'!AZ70=1,"ص‌‌",""),IF('اسفند 402'!BA70=1,"ص‌'",""),IF('اسفند 402'!AZ71=1,"ع‌",""),IF('اسفند 402'!BA71=1,"ع‌",""),IF('اسفند 402'!AZ72=1,"ش‌",""),IF('اسفند 402'!BA72=1,"ش'‌",""), IF('اسفند 402'!AZ70="*","",""), IF('اسفند 402'!AZ70="@","*",""))</f>
        <v/>
      </c>
      <c r="BA66" s="93"/>
      <c r="BB66" s="92" t="str">
        <f>CONCATENATE( IF('اسفند 402'!BB70=1,"ص‌‌",""),IF('اسفند 402'!BC70=1,"ص‌'",""),IF('اسفند 402'!BB71=1,"ع‌",""),IF('اسفند 402'!BC71=1,"ع‌",""),IF('اسفند 402'!BB72=1,"ش‌",""),IF('اسفند 402'!BC72=1,"ش'‌",""), IF('اسفند 402'!BB70="*","",""), IF('اسفند 402'!BB70="@","*",""))</f>
        <v>ع‌</v>
      </c>
      <c r="BC66" s="92"/>
      <c r="BD66" s="92" t="str">
        <f>CONCATENATE( IF('اسفند 402'!BD70=1,"ص‌‌",""),IF('اسفند 402'!BE70=1,"ص‌'",""),IF('اسفند 402'!BD71=1,"ع‌",""),IF('اسفند 402'!BE71=1,"ع‌",""),IF('اسفند 402'!BD72=1,"ش‌",""),IF('اسفند 402'!BE72=1,"ش'‌",""), IF('اسفند 402'!BD70="*","",""), IF('اسفند 402'!BD70="@","*",""))</f>
        <v>ع‌</v>
      </c>
      <c r="BE66" s="92"/>
      <c r="BF66" s="92" t="str">
        <f>CONCATENATE( IF('اسفند 402'!BF70=1,"ص‌‌",""),IF('اسفند 402'!BG70=1,"ص‌'",""),IF('اسفند 402'!BF71=1,"ع‌",""),IF('اسفند 402'!BG71=1,"ع‌",""),IF('اسفند 402'!BF72=1,"ش‌",""),IF('اسفند 402'!BG72=1,"ش'‌",""), IF('اسفند 402'!BF70="*","",""), IF('اسفند 402'!BF70="@","*",""))</f>
        <v/>
      </c>
      <c r="BG66" s="92"/>
      <c r="BH66" s="92" t="str">
        <f>CONCATENATE( IF('اسفند 402'!BH70=1,"ص‌‌",""),IF('اسفند 402'!BI70=1,"ص‌'",""),IF('اسفند 402'!BH71=1,"ع‌",""),IF('اسفند 402'!BI71=1,"ع‌",""),IF('اسفند 402'!BH72=1,"ش‌",""),IF('اسفند 402'!BI72=1,"ش'‌",""), IF('اسفند 402'!BH70="*","",""), IF('اسفند 402'!BH70="@","*",""))</f>
        <v>ع‌ش‌</v>
      </c>
      <c r="BI66" s="92"/>
      <c r="BJ66" s="92" t="str">
        <f>CONCATENATE( IF('اسفند 402'!BJ70=1,"ص‌‌",""),IF('اسفند 402'!BK70=1,"ص‌'",""),IF('اسفند 402'!BJ71=1,"ع‌",""),IF('اسفند 402'!BK71=1,"ع‌",""),IF('اسفند 402'!BJ72=1,"ش‌",""),IF('اسفند 402'!BK72=1,"ش'‌",""), IF('اسفند 402'!BJ70="*","",""), IF('اسفند 402'!BJ70="@","*",""))</f>
        <v/>
      </c>
      <c r="BK66" s="92"/>
      <c r="BL66" s="92" t="str">
        <f>CONCATENATE( IF('اسفند 402'!BL70=1,"ص‌‌",""),IF('اسفند 402'!BM70=1,"ص‌'",""),IF('اسفند 402'!BL71=1,"ع‌",""),IF('اسفند 402'!BM71=1,"ع‌",""),IF('اسفند 402'!BL72=1,"ش‌",""),IF('اسفند 402'!BM72=1,"ش'‌",""), IF('اسفند 402'!BL70="*","",""), IF('اسفند 402'!BL70="@","*",""))</f>
        <v/>
      </c>
      <c r="BM66" s="92"/>
      <c r="BN66" s="93" t="str">
        <f>CONCATENATE( IF('اسفند 402'!BN70=1,"ص‌‌",""),IF('اسفند 402'!BO70=1,"ص‌'",""),IF('اسفند 402'!BN71=1,"ع‌",""),IF('اسفند 402'!BO71=1,"ع‌",""),IF('اسفند 402'!BN72=1,"ش‌",""),IF('اسفند 402'!BO72=1,"ش'‌",""), IF('اسفند 402'!BN70="*","",""), IF('اسفند 402'!BN70="@","*",""))</f>
        <v/>
      </c>
      <c r="BO66" s="93"/>
      <c r="BP66" s="83">
        <f>'اسفند 402'!C71</f>
        <v>26</v>
      </c>
    </row>
    <row r="67" spans="1:68" s="33" customFormat="1" ht="6" customHeight="1" x14ac:dyDescent="0.25">
      <c r="A67" s="88"/>
      <c r="B67" s="86"/>
      <c r="C67" s="83"/>
      <c r="D67" s="112"/>
      <c r="E67" s="83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3"/>
      <c r="AM67" s="93"/>
      <c r="AN67" s="92"/>
      <c r="AO67" s="92"/>
      <c r="AP67" s="92"/>
      <c r="AQ67" s="92"/>
      <c r="AR67" s="92"/>
      <c r="AS67" s="92"/>
      <c r="AT67" s="92"/>
      <c r="AU67" s="92"/>
      <c r="AV67" s="93"/>
      <c r="AW67" s="93"/>
      <c r="AX67" s="93"/>
      <c r="AY67" s="93"/>
      <c r="AZ67" s="93"/>
      <c r="BA67" s="93"/>
      <c r="BB67" s="92"/>
      <c r="BC67" s="92"/>
      <c r="BD67" s="92"/>
      <c r="BE67" s="92"/>
      <c r="BF67" s="92"/>
      <c r="BG67" s="92"/>
      <c r="BH67" s="92"/>
      <c r="BI67" s="92"/>
      <c r="BJ67" s="92"/>
      <c r="BK67" s="92"/>
      <c r="BL67" s="92"/>
      <c r="BM67" s="92"/>
      <c r="BN67" s="93"/>
      <c r="BO67" s="93"/>
      <c r="BP67" s="83"/>
    </row>
    <row r="68" spans="1:68" s="33" customFormat="1" ht="6" customHeight="1" x14ac:dyDescent="0.25">
      <c r="A68" s="88"/>
      <c r="B68" s="87"/>
      <c r="C68" s="83"/>
      <c r="D68" s="112"/>
      <c r="E68" s="83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3"/>
      <c r="AM68" s="93"/>
      <c r="AN68" s="92"/>
      <c r="AO68" s="92"/>
      <c r="AP68" s="92"/>
      <c r="AQ68" s="92"/>
      <c r="AR68" s="92"/>
      <c r="AS68" s="92"/>
      <c r="AT68" s="92"/>
      <c r="AU68" s="92"/>
      <c r="AV68" s="93"/>
      <c r="AW68" s="93"/>
      <c r="AX68" s="93"/>
      <c r="AY68" s="93"/>
      <c r="AZ68" s="93"/>
      <c r="BA68" s="93"/>
      <c r="BB68" s="92"/>
      <c r="BC68" s="92"/>
      <c r="BD68" s="92"/>
      <c r="BE68" s="92"/>
      <c r="BF68" s="92"/>
      <c r="BG68" s="92"/>
      <c r="BH68" s="92"/>
      <c r="BI68" s="92"/>
      <c r="BJ68" s="92"/>
      <c r="BK68" s="92"/>
      <c r="BL68" s="92"/>
      <c r="BM68" s="92"/>
      <c r="BN68" s="93"/>
      <c r="BO68" s="93"/>
      <c r="BP68" s="83"/>
    </row>
    <row r="69" spans="1:68" s="33" customFormat="1" ht="6" customHeight="1" x14ac:dyDescent="0.25">
      <c r="A69" s="88"/>
      <c r="B69" s="85">
        <v>23</v>
      </c>
      <c r="C69" s="83" t="str">
        <f>'اسفند 402'!B73</f>
        <v>x22</v>
      </c>
      <c r="D69" s="112" t="s">
        <v>31</v>
      </c>
      <c r="E69" s="83">
        <v>0.2</v>
      </c>
      <c r="F69" s="92" t="str">
        <f>CONCATENATE( IF('اسفند 402'!F73=1,"ص‌‌",""),IF('اسفند 402'!G73=1,"ص‌'",""),IF('اسفند 402'!F74=1,"ع‌",""),IF('اسفند 402'!G74=1,"ع‌",""),IF('اسفند 402'!F75=1,"ش‌",""),IF('اسفند 402'!G75=1,"ش'‌",""), IF('اسفند 402'!F73="*","",""), IF('اسفند 402'!F73="@","*",""))</f>
        <v/>
      </c>
      <c r="G69" s="92"/>
      <c r="H69" s="92" t="str">
        <f>CONCATENATE( IF('اسفند 402'!H73=1,"ص‌‌",""),IF('اسفند 402'!I73=1,"ص‌'",""),IF('اسفند 402'!H74=1,"ع‌",""),IF('اسفند 402'!I74=1,"ع‌",""),IF('اسفند 402'!H75=1,"ش‌",""),IF('اسفند 402'!I75=1,"ش'‌",""), IF('اسفند 402'!H73="*","",""), IF('اسفند 402'!H73="@","*",""))</f>
        <v/>
      </c>
      <c r="I69" s="92"/>
      <c r="J69" s="92" t="str">
        <f>CONCATENATE( IF('اسفند 402'!J73=1,"ص‌‌",""),IF('اسفند 402'!K73=1,"ص‌'",""),IF('اسفند 402'!J74=1,"ع‌",""),IF('اسفند 402'!K74=1,"ع‌",""),IF('اسفند 402'!J75=1,"ش‌",""),IF('اسفند 402'!K75=1,"ش'‌",""), IF('اسفند 402'!J73="*","",""), IF('اسفند 402'!J73="@","*",""))</f>
        <v/>
      </c>
      <c r="K69" s="92"/>
      <c r="L69" s="92" t="str">
        <f>CONCATENATE( IF('اسفند 402'!L73=1,"ص‌‌",""),IF('اسفند 402'!M73=1,"ص‌'",""),IF('اسفند 402'!L74=1,"ع‌",""),IF('اسفند 402'!M74=1,"ع‌",""),IF('اسفند 402'!L75=1,"ش‌",""),IF('اسفند 402'!M75=1,"ش'‌",""), IF('اسفند 402'!L73="*","",""), IF('اسفند 402'!L73="@","*",""))</f>
        <v/>
      </c>
      <c r="M69" s="92"/>
      <c r="N69" s="92" t="str">
        <f>CONCATENATE( IF('اسفند 402'!N73=1,"ص‌‌",""),IF('اسفند 402'!O73=1,"ص‌'",""),IF('اسفند 402'!N74=1,"ع‌",""),IF('اسفند 402'!O74=1,"ع‌",""),IF('اسفند 402'!N75=1,"ش‌",""),IF('اسفند 402'!O75=1,"ش'‌",""), IF('اسفند 402'!N73="*","",""), IF('اسفند 402'!N73="@","*",""))</f>
        <v/>
      </c>
      <c r="O69" s="92"/>
      <c r="P69" s="92" t="str">
        <f>CONCATENATE( IF('اسفند 402'!P73=1,"ص‌‌",""),IF('اسفند 402'!Q73=1,"ص‌'",""),IF('اسفند 402'!P74=1,"ع‌",""),IF('اسفند 402'!Q74=1,"ع‌",""),IF('اسفند 402'!P75=1,"ش‌",""),IF('اسفند 402'!Q75=1,"ش'‌",""), IF('اسفند 402'!P73="*","",""), IF('اسفند 402'!P73="@","*",""))</f>
        <v/>
      </c>
      <c r="Q69" s="92"/>
      <c r="R69" s="92" t="str">
        <f>CONCATENATE( IF('اسفند 402'!R73=1,"ص‌‌",""),IF('اسفند 402'!S73=1,"ص‌'",""),IF('اسفند 402'!R74=1,"ع‌",""),IF('اسفند 402'!S74=1,"ع‌",""),IF('اسفند 402'!R75=1,"ش‌",""),IF('اسفند 402'!S75=1,"ش'‌",""), IF('اسفند 402'!R73="*","",""), IF('اسفند 402'!R73="@","*",""))</f>
        <v>ص‌‌ش‌</v>
      </c>
      <c r="S69" s="92"/>
      <c r="T69" s="92" t="str">
        <f>CONCATENATE( IF('اسفند 402'!T73=1,"ص‌‌",""),IF('اسفند 402'!U73=1,"ص‌'",""),IF('اسفند 402'!T74=1,"ع‌",""),IF('اسفند 402'!U74=1,"ع‌",""),IF('اسفند 402'!T75=1,"ش‌",""),IF('اسفند 402'!U75=1,"ش'‌",""), IF('اسفند 402'!T73="*","",""), IF('اسفند 402'!T73="@","*",""))</f>
        <v/>
      </c>
      <c r="U69" s="92"/>
      <c r="V69" s="92" t="str">
        <f>CONCATENATE( IF('اسفند 402'!V73=1,"ص‌‌",""),IF('اسفند 402'!W73=1,"ص‌'",""),IF('اسفند 402'!V74=1,"ع‌",""),IF('اسفند 402'!W74=1,"ع‌",""),IF('اسفند 402'!V75=1,"ش‌",""),IF('اسفند 402'!W75=1,"ش'‌",""), IF('اسفند 402'!V73="*","",""), IF('اسفند 402'!V73="@","*",""))</f>
        <v>ص‌‌ش‌</v>
      </c>
      <c r="W69" s="92"/>
      <c r="X69" s="92" t="str">
        <f>CONCATENATE( IF('اسفند 402'!X73=1,"ص‌‌",""),IF('اسفند 402'!Y73=1,"ص‌'",""),IF('اسفند 402'!X74=1,"ع‌",""),IF('اسفند 402'!Y74=1,"ع‌",""),IF('اسفند 402'!X75=1,"ش‌",""),IF('اسفند 402'!Y75=1,"ش'‌",""), IF('اسفند 402'!X73="*","",""), IF('اسفند 402'!X73="@","*",""))</f>
        <v/>
      </c>
      <c r="Y69" s="92"/>
      <c r="Z69" s="92" t="str">
        <f>CONCATENATE( IF('اسفند 402'!Z73=1,"ص‌‌",""),IF('اسفند 402'!AA73=1,"ص‌'",""),IF('اسفند 402'!Z74=1,"ع‌",""),IF('اسفند 402'!AA74=1,"ع‌",""),IF('اسفند 402'!Z75=1,"ش‌",""),IF('اسفند 402'!AA75=1,"ش'‌",""), IF('اسفند 402'!Z73="*","",""), IF('اسفند 402'!Z73="@","*",""))</f>
        <v>ص‌‌ش‌</v>
      </c>
      <c r="AA69" s="92"/>
      <c r="AB69" s="92" t="str">
        <f>CONCATENATE( IF('اسفند 402'!AB73=1,"ص‌‌",""),IF('اسفند 402'!AC73=1,"ص‌'",""),IF('اسفند 402'!AB74=1,"ع‌",""),IF('اسفند 402'!AC74=1,"ع‌",""),IF('اسفند 402'!AB75=1,"ش‌",""),IF('اسفند 402'!AC75=1,"ش'‌",""), IF('اسفند 402'!AB73="*","",""), IF('اسفند 402'!AB73="@","*",""))</f>
        <v/>
      </c>
      <c r="AC69" s="92"/>
      <c r="AD69" s="92" t="str">
        <f>CONCATENATE( IF('اسفند 402'!AD73=1,"ص‌‌",""),IF('اسفند 402'!AE73=1,"ص‌'",""),IF('اسفند 402'!AD74=1,"ع‌",""),IF('اسفند 402'!AE74=1,"ع‌",""),IF('اسفند 402'!AD75=1,"ش‌",""),IF('اسفند 402'!AE75=1,"ش'‌",""), IF('اسفند 402'!AD73="*","",""), IF('اسفند 402'!AD73="@","*",""))</f>
        <v>ص‌‌ش‌</v>
      </c>
      <c r="AE69" s="92"/>
      <c r="AF69" s="92" t="str">
        <f>CONCATENATE( IF('اسفند 402'!AF73=1,"ص‌‌",""),IF('اسفند 402'!AG73=1,"ص‌'",""),IF('اسفند 402'!AF74=1,"ع‌",""),IF('اسفند 402'!AG74=1,"ع‌",""),IF('اسفند 402'!AF75=1,"ش‌",""),IF('اسفند 402'!AG75=1,"ش'‌",""), IF('اسفند 402'!AF73="*","",""), IF('اسفند 402'!AF73="@","*",""))</f>
        <v/>
      </c>
      <c r="AG69" s="92"/>
      <c r="AH69" s="92" t="str">
        <f>CONCATENATE( IF('اسفند 402'!AH73=1,"ص‌‌",""),IF('اسفند 402'!AI73=1,"ص‌'",""),IF('اسفند 402'!AH74=1,"ع‌",""),IF('اسفند 402'!AI74=1,"ع‌",""),IF('اسفند 402'!AH75=1,"ش‌",""),IF('اسفند 402'!AI75=1,"ش'‌",""), IF('اسفند 402'!AH73="*","",""), IF('اسفند 402'!AH73="@","*",""))</f>
        <v>ص‌‌ع‌</v>
      </c>
      <c r="AI69" s="92"/>
      <c r="AJ69" s="92" t="str">
        <f>CONCATENATE( IF('اسفند 402'!AJ73=1,"ص‌‌",""),IF('اسفند 402'!AK73=1,"ص‌'",""),IF('اسفند 402'!AJ74=1,"ع‌",""),IF('اسفند 402'!AK74=1,"ع‌",""),IF('اسفند 402'!AJ75=1,"ش‌",""),IF('اسفند 402'!AK75=1,"ش'‌",""), IF('اسفند 402'!AJ73="*","",""), IF('اسفند 402'!AJ73="@","*",""))</f>
        <v/>
      </c>
      <c r="AK69" s="92"/>
      <c r="AL69" s="93" t="str">
        <f>CONCATENATE( IF('اسفند 402'!AL73=1,"ص‌‌",""),IF('اسفند 402'!AM73=1,"ص‌'",""),IF('اسفند 402'!AL74=1,"ع‌",""),IF('اسفند 402'!AM74=1,"ع‌",""),IF('اسفند 402'!AL75=1,"ش‌",""),IF('اسفند 402'!AM75=1,"ش'‌",""), IF('اسفند 402'!AL73="*","",""), IF('اسفند 402'!AL73="@","*",""))</f>
        <v/>
      </c>
      <c r="AM69" s="93"/>
      <c r="AN69" s="92" t="str">
        <f>CONCATENATE( IF('اسفند 402'!AN73=1,"ص‌‌",""),IF('اسفند 402'!AO73=1,"ص‌'",""),IF('اسفند 402'!AN74=1,"ع‌",""),IF('اسفند 402'!AO74=1,"ع‌",""),IF('اسفند 402'!AN75=1,"ش‌",""),IF('اسفند 402'!AO75=1,"ش'‌",""), IF('اسفند 402'!AN73="*","",""), IF('اسفند 402'!AN73="@","*",""))</f>
        <v>ص‌‌ش‌</v>
      </c>
      <c r="AO69" s="92"/>
      <c r="AP69" s="92" t="str">
        <f>CONCATENATE( IF('اسفند 402'!AP73=1,"ص‌‌",""),IF('اسفند 402'!AQ73=1,"ص‌'",""),IF('اسفند 402'!AP74=1,"ع‌",""),IF('اسفند 402'!AQ74=1,"ع‌",""),IF('اسفند 402'!AP75=1,"ش‌",""),IF('اسفند 402'!AQ75=1,"ش'‌",""), IF('اسفند 402'!AP73="*","",""), IF('اسفند 402'!AP73="@","*",""))</f>
        <v/>
      </c>
      <c r="AQ69" s="92"/>
      <c r="AR69" s="92" t="str">
        <f>CONCATENATE( IF('اسفند 402'!AR73=1,"ص‌‌",""),IF('اسفند 402'!AS73=1,"ص‌'",""),IF('اسفند 402'!AR74=1,"ع‌",""),IF('اسفند 402'!AS74=1,"ع‌",""),IF('اسفند 402'!AR75=1,"ش‌",""),IF('اسفند 402'!AS75=1,"ش'‌",""), IF('اسفند 402'!AR73="*","",""), IF('اسفند 402'!AR73="@","*",""))</f>
        <v>ص‌‌</v>
      </c>
      <c r="AS69" s="92"/>
      <c r="AT69" s="92" t="str">
        <f>CONCATENATE( IF('اسفند 402'!AT73=1,"ص‌‌",""),IF('اسفند 402'!AU73=1,"ص‌'",""),IF('اسفند 402'!AT74=1,"ع‌",""),IF('اسفند 402'!AU74=1,"ع‌",""),IF('اسفند 402'!AT75=1,"ش‌",""),IF('اسفند 402'!AU75=1,"ش'‌",""), IF('اسفند 402'!AT73="*","",""), IF('اسفند 402'!AT73="@","*",""))</f>
        <v/>
      </c>
      <c r="AU69" s="92"/>
      <c r="AV69" s="93" t="str">
        <f>CONCATENATE( IF('اسفند 402'!AV73=1,"ص‌‌",""),IF('اسفند 402'!AW73=1,"ص‌'",""),IF('اسفند 402'!AV74=1,"ع‌",""),IF('اسفند 402'!AW74=1,"ع‌",""),IF('اسفند 402'!AV75=1,"ش‌",""),IF('اسفند 402'!AW75=1,"ش'‌",""), IF('اسفند 402'!AV73="*","",""), IF('اسفند 402'!AV73="@","*",""))</f>
        <v>ش‌</v>
      </c>
      <c r="AW69" s="93"/>
      <c r="AX69" s="93" t="str">
        <f>CONCATENATE( IF('اسفند 402'!AX73=1,"ص‌‌",""),IF('اسفند 402'!AY73=1,"ص‌'",""),IF('اسفند 402'!AX74=1,"ع‌",""),IF('اسفند 402'!AY74=1,"ع‌",""),IF('اسفند 402'!AX75=1,"ش‌",""),IF('اسفند 402'!AY75=1,"ش'‌",""), IF('اسفند 402'!AX73="*","",""), IF('اسفند 402'!AX73="@","*",""))</f>
        <v/>
      </c>
      <c r="AY69" s="93"/>
      <c r="AZ69" s="93" t="str">
        <f>CONCATENATE( IF('اسفند 402'!AZ73=1,"ص‌‌",""),IF('اسفند 402'!BA73=1,"ص‌'",""),IF('اسفند 402'!AZ74=1,"ع‌",""),IF('اسفند 402'!BA74=1,"ع‌",""),IF('اسفند 402'!AZ75=1,"ش‌",""),IF('اسفند 402'!BA75=1,"ش'‌",""), IF('اسفند 402'!AZ73="*","",""), IF('اسفند 402'!AZ73="@","*",""))</f>
        <v>ص‌‌ع‌</v>
      </c>
      <c r="BA69" s="93"/>
      <c r="BB69" s="92" t="str">
        <f>CONCATENATE( IF('اسفند 402'!BB73=1,"ص‌‌",""),IF('اسفند 402'!BC73=1,"ص‌'",""),IF('اسفند 402'!BB74=1,"ع‌",""),IF('اسفند 402'!BC74=1,"ع‌",""),IF('اسفند 402'!BB75=1,"ش‌",""),IF('اسفند 402'!BC75=1,"ش'‌",""), IF('اسفند 402'!BB73="*","",""), IF('اسفند 402'!BB73="@","*",""))</f>
        <v>ص‌‌</v>
      </c>
      <c r="BC69" s="92"/>
      <c r="BD69" s="92" t="str">
        <f>CONCATENATE( IF('اسفند 402'!BD73=1,"ص‌‌",""),IF('اسفند 402'!BE73=1,"ص‌'",""),IF('اسفند 402'!BD74=1,"ع‌",""),IF('اسفند 402'!BE74=1,"ع‌",""),IF('اسفند 402'!BD75=1,"ش‌",""),IF('اسفند 402'!BE75=1,"ش'‌",""), IF('اسفند 402'!BD73="*","",""), IF('اسفند 402'!BD73="@","*",""))</f>
        <v>ص‌‌</v>
      </c>
      <c r="BE69" s="92"/>
      <c r="BF69" s="92" t="str">
        <f>CONCATENATE( IF('اسفند 402'!BF73=1,"ص‌‌",""),IF('اسفند 402'!BG73=1,"ص‌'",""),IF('اسفند 402'!BF74=1,"ع‌",""),IF('اسفند 402'!BG74=1,"ع‌",""),IF('اسفند 402'!BF75=1,"ش‌",""),IF('اسفند 402'!BG75=1,"ش'‌",""), IF('اسفند 402'!BF73="*","",""), IF('اسفند 402'!BF73="@","*",""))</f>
        <v/>
      </c>
      <c r="BG69" s="92"/>
      <c r="BH69" s="92" t="str">
        <f>CONCATENATE( IF('اسفند 402'!BH73=1,"ص‌‌",""),IF('اسفند 402'!BI73=1,"ص‌'",""),IF('اسفند 402'!BH74=1,"ع‌",""),IF('اسفند 402'!BI74=1,"ع‌",""),IF('اسفند 402'!BH75=1,"ش‌",""),IF('اسفند 402'!BI75=1,"ش'‌",""), IF('اسفند 402'!BH73="*","",""), IF('اسفند 402'!BH73="@","*",""))</f>
        <v>*</v>
      </c>
      <c r="BI69" s="92"/>
      <c r="BJ69" s="92" t="str">
        <f>CONCATENATE( IF('اسفند 402'!BJ73=1,"ص‌‌",""),IF('اسفند 402'!BK73=1,"ص‌'",""),IF('اسفند 402'!BJ74=1,"ع‌",""),IF('اسفند 402'!BK74=1,"ع‌",""),IF('اسفند 402'!BJ75=1,"ش‌",""),IF('اسفند 402'!BK75=1,"ش'‌",""), IF('اسفند 402'!BJ73="*","",""), IF('اسفند 402'!BJ73="@","*",""))</f>
        <v/>
      </c>
      <c r="BK69" s="92"/>
      <c r="BL69" s="92" t="str">
        <f>CONCATENATE( IF('اسفند 402'!BL73=1,"ص‌‌",""),IF('اسفند 402'!BM73=1,"ص‌'",""),IF('اسفند 402'!BL74=1,"ع‌",""),IF('اسفند 402'!BM74=1,"ع‌",""),IF('اسفند 402'!BL75=1,"ش‌",""),IF('اسفند 402'!BM75=1,"ش'‌",""), IF('اسفند 402'!BL73="*","",""), IF('اسفند 402'!BL73="@","*",""))</f>
        <v>ص‌‌</v>
      </c>
      <c r="BM69" s="92"/>
      <c r="BN69" s="93" t="str">
        <f>CONCATENATE( IF('اسفند 402'!BN73=1,"ص‌‌",""),IF('اسفند 402'!BO73=1,"ص‌'",""),IF('اسفند 402'!BN74=1,"ع‌",""),IF('اسفند 402'!BO74=1,"ع‌",""),IF('اسفند 402'!BN75=1,"ش‌",""),IF('اسفند 402'!BO75=1,"ش'‌",""), IF('اسفند 402'!BN73="*","",""), IF('اسفند 402'!BN73="@","*",""))</f>
        <v>ش‌</v>
      </c>
      <c r="BO69" s="93"/>
      <c r="BP69" s="83">
        <f>'اسفند 402'!C74</f>
        <v>27</v>
      </c>
    </row>
    <row r="70" spans="1:68" s="33" customFormat="1" ht="6" customHeight="1" x14ac:dyDescent="0.25">
      <c r="A70" s="88"/>
      <c r="B70" s="86"/>
      <c r="C70" s="83"/>
      <c r="D70" s="112"/>
      <c r="E70" s="83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3"/>
      <c r="AM70" s="93"/>
      <c r="AN70" s="92"/>
      <c r="AO70" s="92"/>
      <c r="AP70" s="92"/>
      <c r="AQ70" s="92"/>
      <c r="AR70" s="92"/>
      <c r="AS70" s="92"/>
      <c r="AT70" s="92"/>
      <c r="AU70" s="92"/>
      <c r="AV70" s="93"/>
      <c r="AW70" s="93"/>
      <c r="AX70" s="93"/>
      <c r="AY70" s="93"/>
      <c r="AZ70" s="93"/>
      <c r="BA70" s="93"/>
      <c r="BB70" s="92"/>
      <c r="BC70" s="92"/>
      <c r="BD70" s="92"/>
      <c r="BE70" s="92"/>
      <c r="BF70" s="92"/>
      <c r="BG70" s="92"/>
      <c r="BH70" s="92"/>
      <c r="BI70" s="92"/>
      <c r="BJ70" s="92"/>
      <c r="BK70" s="92"/>
      <c r="BL70" s="92"/>
      <c r="BM70" s="92"/>
      <c r="BN70" s="93"/>
      <c r="BO70" s="93"/>
      <c r="BP70" s="83"/>
    </row>
    <row r="71" spans="1:68" s="33" customFormat="1" ht="6" customHeight="1" x14ac:dyDescent="0.25">
      <c r="A71" s="88"/>
      <c r="B71" s="87"/>
      <c r="C71" s="83"/>
      <c r="D71" s="112"/>
      <c r="E71" s="83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3"/>
      <c r="AM71" s="93"/>
      <c r="AN71" s="92"/>
      <c r="AO71" s="92"/>
      <c r="AP71" s="92"/>
      <c r="AQ71" s="92"/>
      <c r="AR71" s="92"/>
      <c r="AS71" s="92"/>
      <c r="AT71" s="92"/>
      <c r="AU71" s="92"/>
      <c r="AV71" s="93"/>
      <c r="AW71" s="93"/>
      <c r="AX71" s="93"/>
      <c r="AY71" s="93"/>
      <c r="AZ71" s="93"/>
      <c r="BA71" s="93"/>
      <c r="BB71" s="92"/>
      <c r="BC71" s="92"/>
      <c r="BD71" s="92"/>
      <c r="BE71" s="92"/>
      <c r="BF71" s="92"/>
      <c r="BG71" s="92"/>
      <c r="BH71" s="92"/>
      <c r="BI71" s="92"/>
      <c r="BJ71" s="92"/>
      <c r="BK71" s="92"/>
      <c r="BL71" s="92"/>
      <c r="BM71" s="92"/>
      <c r="BN71" s="93"/>
      <c r="BO71" s="93"/>
      <c r="BP71" s="83"/>
    </row>
    <row r="72" spans="1:68" s="33" customFormat="1" ht="6" customHeight="1" x14ac:dyDescent="0.25">
      <c r="A72" s="88"/>
      <c r="B72" s="85">
        <v>24</v>
      </c>
      <c r="C72" s="83" t="str">
        <f>'اسفند 402'!B76</f>
        <v>x23</v>
      </c>
      <c r="D72" s="112" t="s">
        <v>31</v>
      </c>
      <c r="E72" s="83">
        <v>0.1</v>
      </c>
      <c r="F72" s="92" t="str">
        <f>CONCATENATE( IF('اسفند 402'!F76=1,"ص‌‌",""),IF('اسفند 402'!G76=1,"ص‌'",""),IF('اسفند 402'!F77=1,"ع‌",""),IF('اسفند 402'!G77=1,"ع‌",""),IF('اسفند 402'!F78=1,"ش‌",""),IF('اسفند 402'!G78=1,"ش'‌",""), IF('اسفند 402'!F76="*","",""), IF('اسفند 402'!F76="@","*",""))</f>
        <v/>
      </c>
      <c r="G72" s="92"/>
      <c r="H72" s="92" t="str">
        <f>CONCATENATE( IF('اسفند 402'!H76=1,"ص‌‌",""),IF('اسفند 402'!I76=1,"ص‌'",""),IF('اسفند 402'!H77=1,"ع‌",""),IF('اسفند 402'!I77=1,"ع‌",""),IF('اسفند 402'!H78=1,"ش‌",""),IF('اسفند 402'!I78=1,"ش'‌",""), IF('اسفند 402'!H76="*","",""), IF('اسفند 402'!H76="@","*",""))</f>
        <v/>
      </c>
      <c r="I72" s="92"/>
      <c r="J72" s="92" t="str">
        <f>CONCATENATE( IF('اسفند 402'!J76=1,"ص‌‌",""),IF('اسفند 402'!K76=1,"ص‌'",""),IF('اسفند 402'!J77=1,"ع‌",""),IF('اسفند 402'!K77=1,"ع‌",""),IF('اسفند 402'!J78=1,"ش‌",""),IF('اسفند 402'!K78=1,"ش'‌",""), IF('اسفند 402'!J76="*","",""), IF('اسفند 402'!J76="@","*",""))</f>
        <v/>
      </c>
      <c r="K72" s="92"/>
      <c r="L72" s="92" t="str">
        <f>CONCATENATE( IF('اسفند 402'!L76=1,"ص‌‌",""),IF('اسفند 402'!M76=1,"ص‌'",""),IF('اسفند 402'!L77=1,"ع‌",""),IF('اسفند 402'!M77=1,"ع‌",""),IF('اسفند 402'!L78=1,"ش‌",""),IF('اسفند 402'!M78=1,"ش'‌",""), IF('اسفند 402'!L76="*","",""), IF('اسفند 402'!L76="@","*",""))</f>
        <v/>
      </c>
      <c r="M72" s="92"/>
      <c r="N72" s="92" t="str">
        <f>CONCATENATE( IF('اسفند 402'!N76=1,"ص‌‌",""),IF('اسفند 402'!O76=1,"ص‌'",""),IF('اسفند 402'!N77=1,"ع‌",""),IF('اسفند 402'!O77=1,"ع‌",""),IF('اسفند 402'!N78=1,"ش‌",""),IF('اسفند 402'!O78=1,"ش'‌",""), IF('اسفند 402'!N76="*","",""), IF('اسفند 402'!N76="@","*",""))</f>
        <v/>
      </c>
      <c r="O72" s="92"/>
      <c r="P72" s="92" t="str">
        <f>CONCATENATE( IF('اسفند 402'!P76=1,"ص‌‌",""),IF('اسفند 402'!Q76=1,"ص‌'",""),IF('اسفند 402'!P77=1,"ع‌",""),IF('اسفند 402'!Q77=1,"ع‌",""),IF('اسفند 402'!P78=1,"ش‌",""),IF('اسفند 402'!Q78=1,"ش'‌",""), IF('اسفند 402'!P76="*","",""), IF('اسفند 402'!P76="@","*",""))</f>
        <v/>
      </c>
      <c r="Q72" s="92"/>
      <c r="R72" s="92" t="str">
        <f>CONCATENATE( IF('اسفند 402'!R76=1,"ص‌‌",""),IF('اسفند 402'!S76=1,"ص‌'",""),IF('اسفند 402'!R77=1,"ع‌",""),IF('اسفند 402'!S77=1,"ع‌",""),IF('اسفند 402'!R78=1,"ش‌",""),IF('اسفند 402'!S78=1,"ش'‌",""), IF('اسفند 402'!R76="*","",""), IF('اسفند 402'!R76="@","*",""))</f>
        <v>ش‌</v>
      </c>
      <c r="S72" s="92"/>
      <c r="T72" s="92" t="str">
        <f>CONCATENATE( IF('اسفند 402'!T76=1,"ص‌‌",""),IF('اسفند 402'!U76=1,"ص‌'",""),IF('اسفند 402'!T77=1,"ع‌",""),IF('اسفند 402'!U77=1,"ع‌",""),IF('اسفند 402'!T78=1,"ش‌",""),IF('اسفند 402'!U78=1,"ش'‌",""), IF('اسفند 402'!T76="*","",""), IF('اسفند 402'!T76="@","*",""))</f>
        <v/>
      </c>
      <c r="U72" s="92"/>
      <c r="V72" s="92" t="str">
        <f>CONCATENATE( IF('اسفند 402'!V76=1,"ص‌‌",""),IF('اسفند 402'!W76=1,"ص‌'",""),IF('اسفند 402'!V77=1,"ع‌",""),IF('اسفند 402'!W77=1,"ع‌",""),IF('اسفند 402'!V78=1,"ش‌",""),IF('اسفند 402'!W78=1,"ش'‌",""), IF('اسفند 402'!V76="*","",""), IF('اسفند 402'!V76="@","*",""))</f>
        <v>ع‌ش‌</v>
      </c>
      <c r="W72" s="92"/>
      <c r="X72" s="92" t="str">
        <f>CONCATENATE( IF('اسفند 402'!X76=1,"ص‌‌",""),IF('اسفند 402'!Y76=1,"ص‌'",""),IF('اسفند 402'!X77=1,"ع‌",""),IF('اسفند 402'!Y77=1,"ع‌",""),IF('اسفند 402'!X78=1,"ش‌",""),IF('اسفند 402'!Y78=1,"ش'‌",""), IF('اسفند 402'!X76="*","",""), IF('اسفند 402'!X76="@","*",""))</f>
        <v/>
      </c>
      <c r="Y72" s="92"/>
      <c r="Z72" s="92" t="str">
        <f>CONCATENATE( IF('اسفند 402'!Z76=1,"ص‌‌",""),IF('اسفند 402'!AA76=1,"ص‌'",""),IF('اسفند 402'!Z77=1,"ع‌",""),IF('اسفند 402'!AA77=1,"ع‌",""),IF('اسفند 402'!Z78=1,"ش‌",""),IF('اسفند 402'!AA78=1,"ش'‌",""), IF('اسفند 402'!Z76="*","",""), IF('اسفند 402'!Z76="@","*",""))</f>
        <v>ص‌‌ع‌</v>
      </c>
      <c r="AA72" s="92"/>
      <c r="AB72" s="92" t="str">
        <f>CONCATENATE( IF('اسفند 402'!AB76=1,"ص‌‌",""),IF('اسفند 402'!AC76=1,"ص‌'",""),IF('اسفند 402'!AB77=1,"ع‌",""),IF('اسفند 402'!AC77=1,"ع‌",""),IF('اسفند 402'!AB78=1,"ش‌",""),IF('اسفند 402'!AC78=1,"ش'‌",""), IF('اسفند 402'!AB76="*","",""), IF('اسفند 402'!AB76="@","*",""))</f>
        <v>ص‌‌ع‌</v>
      </c>
      <c r="AC72" s="92"/>
      <c r="AD72" s="92" t="str">
        <f>CONCATENATE( IF('اسفند 402'!AD76=1,"ص‌‌",""),IF('اسفند 402'!AE76=1,"ص‌'",""),IF('اسفند 402'!AD77=1,"ع‌",""),IF('اسفند 402'!AE77=1,"ع‌",""),IF('اسفند 402'!AD78=1,"ش‌",""),IF('اسفند 402'!AE78=1,"ش'‌",""), IF('اسفند 402'!AD76="*","",""), IF('اسفند 402'!AD76="@","*",""))</f>
        <v>ص‌‌ش‌</v>
      </c>
      <c r="AE72" s="92"/>
      <c r="AF72" s="92" t="str">
        <f>CONCATENATE( IF('اسفند 402'!AF76=1,"ص‌‌",""),IF('اسفند 402'!AG76=1,"ص‌'",""),IF('اسفند 402'!AF77=1,"ع‌",""),IF('اسفند 402'!AG77=1,"ع‌",""),IF('اسفند 402'!AF78=1,"ش‌",""),IF('اسفند 402'!AG78=1,"ش'‌",""), IF('اسفند 402'!AF76="*","",""), IF('اسفند 402'!AF76="@","*",""))</f>
        <v/>
      </c>
      <c r="AG72" s="92"/>
      <c r="AH72" s="92" t="str">
        <f>CONCATENATE( IF('اسفند 402'!AH76=1,"ص‌‌",""),IF('اسفند 402'!AI76=1,"ص‌'",""),IF('اسفند 402'!AH77=1,"ع‌",""),IF('اسفند 402'!AI77=1,"ع‌",""),IF('اسفند 402'!AH78=1,"ش‌",""),IF('اسفند 402'!AI78=1,"ش'‌",""), IF('اسفند 402'!AH76="*","",""), IF('اسفند 402'!AH76="@","*",""))</f>
        <v>ص‌‌</v>
      </c>
      <c r="AI72" s="92"/>
      <c r="AJ72" s="92" t="str">
        <f>CONCATENATE( IF('اسفند 402'!AJ76=1,"ص‌‌",""),IF('اسفند 402'!AK76=1,"ص‌'",""),IF('اسفند 402'!AJ77=1,"ع‌",""),IF('اسفند 402'!AK77=1,"ع‌",""),IF('اسفند 402'!AJ78=1,"ش‌",""),IF('اسفند 402'!AK78=1,"ش'‌",""), IF('اسفند 402'!AJ76="*","",""), IF('اسفند 402'!AJ76="@","*",""))</f>
        <v>ص‌‌ع‌</v>
      </c>
      <c r="AK72" s="92"/>
      <c r="AL72" s="93" t="str">
        <f>CONCATENATE( IF('اسفند 402'!AL76=1,"ص‌‌",""),IF('اسفند 402'!AM76=1,"ص‌'",""),IF('اسفند 402'!AL77=1,"ع‌",""),IF('اسفند 402'!AM77=1,"ع‌",""),IF('اسفند 402'!AL78=1,"ش‌",""),IF('اسفند 402'!AM78=1,"ش'‌",""), IF('اسفند 402'!AL76="*","",""), IF('اسفند 402'!AL76="@","*",""))</f>
        <v/>
      </c>
      <c r="AM72" s="93"/>
      <c r="AN72" s="92" t="str">
        <f>CONCATENATE( IF('اسفند 402'!AN76=1,"ص‌‌",""),IF('اسفند 402'!AO76=1,"ص‌'",""),IF('اسفند 402'!AN77=1,"ع‌",""),IF('اسفند 402'!AO77=1,"ع‌",""),IF('اسفند 402'!AN78=1,"ش‌",""),IF('اسفند 402'!AO78=1,"ش'‌",""), IF('اسفند 402'!AN76="*","",""), IF('اسفند 402'!AN76="@","*",""))</f>
        <v>ص‌‌ش‌</v>
      </c>
      <c r="AO72" s="92"/>
      <c r="AP72" s="92" t="str">
        <f>CONCATENATE( IF('اسفند 402'!AP76=1,"ص‌‌",""),IF('اسفند 402'!AQ76=1,"ص‌'",""),IF('اسفند 402'!AP77=1,"ع‌",""),IF('اسفند 402'!AQ77=1,"ع‌",""),IF('اسفند 402'!AP78=1,"ش‌",""),IF('اسفند 402'!AQ78=1,"ش'‌",""), IF('اسفند 402'!AP76="*","",""), IF('اسفند 402'!AP76="@","*",""))</f>
        <v/>
      </c>
      <c r="AQ72" s="92"/>
      <c r="AR72" s="92" t="str">
        <f>CONCATENATE( IF('اسفند 402'!AR76=1,"ص‌‌",""),IF('اسفند 402'!AS76=1,"ص‌'",""),IF('اسفند 402'!AR77=1,"ع‌",""),IF('اسفند 402'!AS77=1,"ع‌",""),IF('اسفند 402'!AR78=1,"ش‌",""),IF('اسفند 402'!AS78=1,"ش'‌",""), IF('اسفند 402'!AR76="*","",""), IF('اسفند 402'!AR76="@","*",""))</f>
        <v>ش‌</v>
      </c>
      <c r="AS72" s="92"/>
      <c r="AT72" s="92" t="str">
        <f>CONCATENATE( IF('اسفند 402'!AT76=1,"ص‌‌",""),IF('اسفند 402'!AU76=1,"ص‌'",""),IF('اسفند 402'!AT77=1,"ع‌",""),IF('اسفند 402'!AU77=1,"ع‌",""),IF('اسفند 402'!AT78=1,"ش‌",""),IF('اسفند 402'!AU78=1,"ش'‌",""), IF('اسفند 402'!AT76="*","",""), IF('اسفند 402'!AT76="@","*",""))</f>
        <v/>
      </c>
      <c r="AU72" s="92"/>
      <c r="AV72" s="93" t="str">
        <f>CONCATENATE( IF('اسفند 402'!AV76=1,"ص‌‌",""),IF('اسفند 402'!AW76=1,"ص‌'",""),IF('اسفند 402'!AV77=1,"ع‌",""),IF('اسفند 402'!AW77=1,"ع‌",""),IF('اسفند 402'!AV78=1,"ش‌",""),IF('اسفند 402'!AW78=1,"ش'‌",""), IF('اسفند 402'!AV76="*","",""), IF('اسفند 402'!AV76="@","*",""))</f>
        <v>ع‌ش‌</v>
      </c>
      <c r="AW72" s="93"/>
      <c r="AX72" s="93" t="str">
        <f>CONCATENATE( IF('اسفند 402'!AX76=1,"ص‌‌",""),IF('اسفند 402'!AY76=1,"ص‌'",""),IF('اسفند 402'!AX77=1,"ع‌",""),IF('اسفند 402'!AY77=1,"ع‌",""),IF('اسفند 402'!AX78=1,"ش‌",""),IF('اسفند 402'!AY78=1,"ش'‌",""), IF('اسفند 402'!AX76="*","",""), IF('اسفند 402'!AX76="@","*",""))</f>
        <v>*</v>
      </c>
      <c r="AY72" s="93"/>
      <c r="AZ72" s="93" t="str">
        <f>CONCATENATE( IF('اسفند 402'!AZ76=1,"ص‌‌",""),IF('اسفند 402'!BA76=1,"ص‌'",""),IF('اسفند 402'!AZ77=1,"ع‌",""),IF('اسفند 402'!BA77=1,"ع‌",""),IF('اسفند 402'!AZ78=1,"ش‌",""),IF('اسفند 402'!BA78=1,"ش'‌",""), IF('اسفند 402'!AZ76="*","",""), IF('اسفند 402'!AZ76="@","*",""))</f>
        <v/>
      </c>
      <c r="BA72" s="93"/>
      <c r="BB72" s="92" t="str">
        <f>CONCATENATE( IF('اسفند 402'!BB76=1,"ص‌‌",""),IF('اسفند 402'!BC76=1,"ص‌'",""),IF('اسفند 402'!BB77=1,"ع‌",""),IF('اسفند 402'!BC77=1,"ع‌",""),IF('اسفند 402'!BB78=1,"ش‌",""),IF('اسفند 402'!BC78=1,"ش'‌",""), IF('اسفند 402'!BB76="*","",""), IF('اسفند 402'!BB76="@","*",""))</f>
        <v>ص‌‌</v>
      </c>
      <c r="BC72" s="92"/>
      <c r="BD72" s="92" t="str">
        <f>CONCATENATE( IF('اسفند 402'!BD76=1,"ص‌‌",""),IF('اسفند 402'!BE76=1,"ص‌'",""),IF('اسفند 402'!BD77=1,"ع‌",""),IF('اسفند 402'!BE77=1,"ع‌",""),IF('اسفند 402'!BD78=1,"ش‌",""),IF('اسفند 402'!BE78=1,"ش'‌",""), IF('اسفند 402'!BD76="*","",""), IF('اسفند 402'!BD76="@","*",""))</f>
        <v>ص‌‌ش‌</v>
      </c>
      <c r="BE72" s="92"/>
      <c r="BF72" s="92" t="str">
        <f>CONCATENATE( IF('اسفند 402'!BF76=1,"ص‌‌",""),IF('اسفند 402'!BG76=1,"ص‌'",""),IF('اسفند 402'!BF77=1,"ع‌",""),IF('اسفند 402'!BG77=1,"ع‌",""),IF('اسفند 402'!BF78=1,"ش‌",""),IF('اسفند 402'!BG78=1,"ش'‌",""), IF('اسفند 402'!BF76="*","",""), IF('اسفند 402'!BF76="@","*",""))</f>
        <v/>
      </c>
      <c r="BG72" s="92"/>
      <c r="BH72" s="92" t="str">
        <f>CONCATENATE( IF('اسفند 402'!BH76=1,"ص‌‌",""),IF('اسفند 402'!BI76=1,"ص‌'",""),IF('اسفند 402'!BH77=1,"ع‌",""),IF('اسفند 402'!BI77=1,"ع‌",""),IF('اسفند 402'!BH78=1,"ش‌",""),IF('اسفند 402'!BI78=1,"ش'‌",""), IF('اسفند 402'!BH76="*","",""), IF('اسفند 402'!BH76="@","*",""))</f>
        <v/>
      </c>
      <c r="BI72" s="92"/>
      <c r="BJ72" s="92" t="str">
        <f>CONCATENATE( IF('اسفند 402'!BJ76=1,"ص‌‌",""),IF('اسفند 402'!BK76=1,"ص‌'",""),IF('اسفند 402'!BJ77=1,"ع‌",""),IF('اسفند 402'!BK77=1,"ع‌",""),IF('اسفند 402'!BJ78=1,"ش‌",""),IF('اسفند 402'!BK78=1,"ش'‌",""), IF('اسفند 402'!BJ76="*","",""), IF('اسفند 402'!BJ76="@","*",""))</f>
        <v/>
      </c>
      <c r="BK72" s="92"/>
      <c r="BL72" s="92" t="str">
        <f>CONCATENATE( IF('اسفند 402'!BL76=1,"ص‌‌",""),IF('اسفند 402'!BM76=1,"ص‌'",""),IF('اسفند 402'!BL77=1,"ع‌",""),IF('اسفند 402'!BM77=1,"ع‌",""),IF('اسفند 402'!BL78=1,"ش‌",""),IF('اسفند 402'!BM78=1,"ش'‌",""), IF('اسفند 402'!BL76="*","",""), IF('اسفند 402'!BL76="@","*",""))</f>
        <v/>
      </c>
      <c r="BM72" s="92"/>
      <c r="BN72" s="93" t="str">
        <f>CONCATENATE( IF('اسفند 402'!BN76=1,"ص‌‌",""),IF('اسفند 402'!BO76=1,"ص‌'",""),IF('اسفند 402'!BN77=1,"ع‌",""),IF('اسفند 402'!BO77=1,"ع‌",""),IF('اسفند 402'!BN78=1,"ش‌",""),IF('اسفند 402'!BO78=1,"ش'‌",""), IF('اسفند 402'!BN76="*","",""), IF('اسفند 402'!BN76="@","*",""))</f>
        <v/>
      </c>
      <c r="BO72" s="93"/>
      <c r="BP72" s="83">
        <f>'اسفند 402'!C77</f>
        <v>27</v>
      </c>
    </row>
    <row r="73" spans="1:68" s="33" customFormat="1" ht="6" customHeight="1" x14ac:dyDescent="0.25">
      <c r="A73" s="88"/>
      <c r="B73" s="86"/>
      <c r="C73" s="83"/>
      <c r="D73" s="112"/>
      <c r="E73" s="83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3"/>
      <c r="AM73" s="93"/>
      <c r="AN73" s="92"/>
      <c r="AO73" s="92"/>
      <c r="AP73" s="92"/>
      <c r="AQ73" s="92"/>
      <c r="AR73" s="92"/>
      <c r="AS73" s="92"/>
      <c r="AT73" s="92"/>
      <c r="AU73" s="92"/>
      <c r="AV73" s="93"/>
      <c r="AW73" s="93"/>
      <c r="AX73" s="93"/>
      <c r="AY73" s="93"/>
      <c r="AZ73" s="93"/>
      <c r="BA73" s="93"/>
      <c r="BB73" s="92"/>
      <c r="BC73" s="92"/>
      <c r="BD73" s="92"/>
      <c r="BE73" s="92"/>
      <c r="BF73" s="92"/>
      <c r="BG73" s="92"/>
      <c r="BH73" s="92"/>
      <c r="BI73" s="92"/>
      <c r="BJ73" s="92"/>
      <c r="BK73" s="92"/>
      <c r="BL73" s="92"/>
      <c r="BM73" s="92"/>
      <c r="BN73" s="93"/>
      <c r="BO73" s="93"/>
      <c r="BP73" s="83"/>
    </row>
    <row r="74" spans="1:68" s="33" customFormat="1" ht="6" customHeight="1" x14ac:dyDescent="0.25">
      <c r="A74" s="88"/>
      <c r="B74" s="87"/>
      <c r="C74" s="83"/>
      <c r="D74" s="112"/>
      <c r="E74" s="83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3"/>
      <c r="AM74" s="93"/>
      <c r="AN74" s="92"/>
      <c r="AO74" s="92"/>
      <c r="AP74" s="92"/>
      <c r="AQ74" s="92"/>
      <c r="AR74" s="92"/>
      <c r="AS74" s="92"/>
      <c r="AT74" s="92"/>
      <c r="AU74" s="92"/>
      <c r="AV74" s="93"/>
      <c r="AW74" s="93"/>
      <c r="AX74" s="93"/>
      <c r="AY74" s="93"/>
      <c r="AZ74" s="93"/>
      <c r="BA74" s="93"/>
      <c r="BB74" s="92"/>
      <c r="BC74" s="92"/>
      <c r="BD74" s="92"/>
      <c r="BE74" s="92"/>
      <c r="BF74" s="92"/>
      <c r="BG74" s="92"/>
      <c r="BH74" s="92"/>
      <c r="BI74" s="92"/>
      <c r="BJ74" s="92"/>
      <c r="BK74" s="92"/>
      <c r="BL74" s="92"/>
      <c r="BM74" s="92"/>
      <c r="BN74" s="93"/>
      <c r="BO74" s="93"/>
      <c r="BP74" s="83"/>
    </row>
    <row r="75" spans="1:68" ht="6" customHeight="1" x14ac:dyDescent="0.45">
      <c r="A75" s="84"/>
      <c r="B75" s="84">
        <v>25</v>
      </c>
      <c r="C75" s="84">
        <f>'اسفند 402'!B79</f>
        <v>0</v>
      </c>
      <c r="D75" s="111"/>
      <c r="E75" s="84">
        <v>25</v>
      </c>
      <c r="F75" s="92" t="str">
        <f>CONCATENATE( IF('اسفند 402'!F79=1,"ص‌‌",""),IF('اسفند 402'!G79=1,"ص‌'",""),IF('اسفند 402'!F80=1,"ع‌",""),IF('اسفند 402'!G80=1,"ع‌",""),IF('اسفند 402'!F81=1,"ش‌",""),IF('اسفند 402'!G81=1,"ش'‌",""), IF('اسفند 402'!F79="*","",""), IF('اسفند 402'!F79="@","*",""))</f>
        <v/>
      </c>
      <c r="G75" s="92"/>
      <c r="H75" s="92" t="str">
        <f>CONCATENATE( IF('اسفند 402'!H79=1,"ص‌‌",""),IF('اسفند 402'!I79=1,"ص‌'",""),IF('اسفند 402'!H80=1,"ع‌",""),IF('اسفند 402'!I80=1,"ع‌",""),IF('اسفند 402'!H81=1,"ش‌",""),IF('اسفند 402'!I81=1,"ش'‌",""), IF('اسفند 402'!H79="*","",""), IF('اسفند 402'!H79="@","*",""))</f>
        <v/>
      </c>
      <c r="I75" s="92"/>
      <c r="J75" s="92" t="str">
        <f>CONCATENATE( IF('اسفند 402'!J79=1,"ص‌‌",""),IF('اسفند 402'!K79=1,"ص‌'",""),IF('اسفند 402'!J80=1,"ع‌",""),IF('اسفند 402'!K80=1,"ع‌",""),IF('اسفند 402'!J81=1,"ش‌",""),IF('اسفند 402'!K81=1,"ش'‌",""), IF('اسفند 402'!J79="*","",""), IF('اسفند 402'!J79="@","*",""))</f>
        <v/>
      </c>
      <c r="K75" s="92"/>
      <c r="L75" s="92" t="str">
        <f>CONCATENATE( IF('اسفند 402'!L79=1,"ص‌‌",""),IF('اسفند 402'!M79=1,"ص‌'",""),IF('اسفند 402'!L80=1,"ع‌",""),IF('اسفند 402'!M80=1,"ع‌",""),IF('اسفند 402'!L81=1,"ش‌",""),IF('اسفند 402'!M81=1,"ش'‌",""), IF('اسفند 402'!L79="*","",""), IF('اسفند 402'!L79="@","*",""))</f>
        <v/>
      </c>
      <c r="M75" s="92"/>
      <c r="N75" s="92" t="str">
        <f>CONCATENATE( IF('اسفند 402'!N79=1,"ص‌‌",""),IF('اسفند 402'!O79=1,"ص‌'",""),IF('اسفند 402'!N80=1,"ع‌",""),IF('اسفند 402'!O80=1,"ع‌",""),IF('اسفند 402'!N81=1,"ش‌",""),IF('اسفند 402'!O81=1,"ش'‌",""), IF('اسفند 402'!N79="*","",""), IF('اسفند 402'!N79="@","*",""))</f>
        <v/>
      </c>
      <c r="O75" s="92"/>
      <c r="P75" s="92" t="str">
        <f>CONCATENATE( IF('اسفند 402'!P79=1,"ص‌‌",""),IF('اسفند 402'!Q79=1,"ص‌'",""),IF('اسفند 402'!P80=1,"ع‌",""),IF('اسفند 402'!Q80=1,"ع‌",""),IF('اسفند 402'!P81=1,"ش‌",""),IF('اسفند 402'!Q81=1,"ش'‌",""), IF('اسفند 402'!P79="*","",""), IF('اسفند 402'!P79="@","*",""))</f>
        <v/>
      </c>
      <c r="Q75" s="92"/>
      <c r="R75" s="92" t="str">
        <f>CONCATENATE( IF('اسفند 402'!R79=1,"ص‌‌",""),IF('اسفند 402'!S79=1,"ص‌'",""),IF('اسفند 402'!R80=1,"ع‌",""),IF('اسفند 402'!S80=1,"ع‌",""),IF('اسفند 402'!R81=1,"ش‌",""),IF('اسفند 402'!S81=1,"ش'‌",""), IF('اسفند 402'!R79="*","",""), IF('اسفند 402'!R79="@","*",""))</f>
        <v/>
      </c>
      <c r="S75" s="92"/>
      <c r="T75" s="92" t="str">
        <f>CONCATENATE( IF('اسفند 402'!T79=1,"ص‌‌",""),IF('اسفند 402'!U79=1,"ص‌'",""),IF('اسفند 402'!T80=1,"ع‌",""),IF('اسفند 402'!U80=1,"ع‌",""),IF('اسفند 402'!T81=1,"ش‌",""),IF('اسفند 402'!U81=1,"ش'‌",""), IF('اسفند 402'!T79="*","",""), IF('اسفند 402'!T79="@","*",""))</f>
        <v/>
      </c>
      <c r="U75" s="92"/>
      <c r="V75" s="92" t="str">
        <f>CONCATENATE( IF('اسفند 402'!V79=1,"ص‌‌",""),IF('اسفند 402'!W79=1,"ص‌'",""),IF('اسفند 402'!V80=1,"ع‌",""),IF('اسفند 402'!W80=1,"ع‌",""),IF('اسفند 402'!V81=1,"ش‌",""),IF('اسفند 402'!W81=1,"ش'‌",""), IF('اسفند 402'!V79="*","",""), IF('اسفند 402'!V79="@","*",""))</f>
        <v/>
      </c>
      <c r="W75" s="92"/>
      <c r="X75" s="92" t="str">
        <f>CONCATENATE( IF('اسفند 402'!X79=1,"ص‌‌",""),IF('اسفند 402'!Y79=1,"ص‌'",""),IF('اسفند 402'!X80=1,"ع‌",""),IF('اسفند 402'!Y80=1,"ع‌",""),IF('اسفند 402'!X81=1,"ش‌",""),IF('اسفند 402'!Y81=1,"ش'‌",""), IF('اسفند 402'!X79="*","",""), IF('اسفند 402'!X79="@","*",""))</f>
        <v/>
      </c>
      <c r="Y75" s="92"/>
      <c r="Z75" s="92" t="str">
        <f>CONCATENATE( IF('اسفند 402'!Z79=1,"ص‌‌",""),IF('اسفند 402'!AA79=1,"ص‌'",""),IF('اسفند 402'!Z80=1,"ع‌",""),IF('اسفند 402'!AA80=1,"ع‌",""),IF('اسفند 402'!Z81=1,"ش‌",""),IF('اسفند 402'!AA81=1,"ش'‌",""), IF('اسفند 402'!Z79="*","",""), IF('اسفند 402'!Z79="@","*",""))</f>
        <v/>
      </c>
      <c r="AA75" s="92"/>
      <c r="AB75" s="92" t="str">
        <f>CONCATENATE( IF('اسفند 402'!AB79=1,"ص‌‌",""),IF('اسفند 402'!AC79=1,"ص‌'",""),IF('اسفند 402'!AB80=1,"ع‌",""),IF('اسفند 402'!AC80=1,"ع‌",""),IF('اسفند 402'!AB81=1,"ش‌",""),IF('اسفند 402'!AC81=1,"ش'‌",""), IF('اسفند 402'!AB79="*","",""), IF('اسفند 402'!AB79="@","*",""))</f>
        <v/>
      </c>
      <c r="AC75" s="92"/>
      <c r="AD75" s="92" t="str">
        <f>CONCATENATE( IF('اسفند 402'!AD79=1,"ص‌‌",""),IF('اسفند 402'!AE79=1,"ص‌'",""),IF('اسفند 402'!AD80=1,"ع‌",""),IF('اسفند 402'!AE80=1,"ع‌",""),IF('اسفند 402'!AD81=1,"ش‌",""),IF('اسفند 402'!AE81=1,"ش'‌",""), IF('اسفند 402'!AD79="*","",""), IF('اسفند 402'!AD79="@","*",""))</f>
        <v/>
      </c>
      <c r="AE75" s="92"/>
      <c r="AF75" s="92" t="str">
        <f>CONCATENATE( IF('اسفند 402'!AF79=1,"ص‌‌",""),IF('اسفند 402'!AG79=1,"ص‌'",""),IF('اسفند 402'!AF80=1,"ع‌",""),IF('اسفند 402'!AG80=1,"ع‌",""),IF('اسفند 402'!AF81=1,"ش‌",""),IF('اسفند 402'!AG81=1,"ش'‌",""), IF('اسفند 402'!AF79="*","",""), IF('اسفند 402'!AF79="@","*",""))</f>
        <v/>
      </c>
      <c r="AG75" s="92"/>
      <c r="AH75" s="92" t="str">
        <f>CONCATENATE( IF('اسفند 402'!AH79=1,"ص‌‌",""),IF('اسفند 402'!AI79=1,"ص‌'",""),IF('اسفند 402'!AH80=1,"ع‌",""),IF('اسفند 402'!AI80=1,"ع‌",""),IF('اسفند 402'!AH81=1,"ش‌",""),IF('اسفند 402'!AI81=1,"ش'‌",""), IF('اسفند 402'!AH79="*","",""), IF('اسفند 402'!AH79="@","*",""))</f>
        <v/>
      </c>
      <c r="AI75" s="92"/>
      <c r="AJ75" s="92" t="str">
        <f>CONCATENATE( IF('اسفند 402'!AJ79=1,"ص‌‌",""),IF('اسفند 402'!AK79=1,"ص‌'",""),IF('اسفند 402'!AJ80=1,"ع‌",""),IF('اسفند 402'!AK80=1,"ع‌",""),IF('اسفند 402'!AJ81=1,"ش‌",""),IF('اسفند 402'!AK81=1,"ش'‌",""), IF('اسفند 402'!AJ79="*","",""), IF('اسفند 402'!AJ79="@","*",""))</f>
        <v/>
      </c>
      <c r="AK75" s="92"/>
      <c r="AL75" s="93" t="str">
        <f>CONCATENATE( IF('اسفند 402'!AL79=1,"ص‌‌",""),IF('اسفند 402'!AM79=1,"ص‌'",""),IF('اسفند 402'!AL80=1,"ع‌",""),IF('اسفند 402'!AM80=1,"ع‌",""),IF('اسفند 402'!AL81=1,"ش‌",""),IF('اسفند 402'!AM81=1,"ش'‌",""), IF('اسفند 402'!AL79="*","",""), IF('اسفند 402'!AL79="@","*",""))</f>
        <v/>
      </c>
      <c r="AM75" s="93"/>
      <c r="AN75" s="92" t="str">
        <f>CONCATENATE( IF('اسفند 402'!AN79=1,"ص‌‌",""),IF('اسفند 402'!AO79=1,"ص‌'",""),IF('اسفند 402'!AN80=1,"ع‌",""),IF('اسفند 402'!AO80=1,"ع‌",""),IF('اسفند 402'!AN81=1,"ش‌",""),IF('اسفند 402'!AO81=1,"ش'‌",""), IF('اسفند 402'!AN79="*","",""), IF('اسفند 402'!AN79="@","*",""))</f>
        <v/>
      </c>
      <c r="AO75" s="92"/>
      <c r="AP75" s="92" t="str">
        <f>CONCATENATE( IF('اسفند 402'!AP79=1,"ص‌‌",""),IF('اسفند 402'!AQ79=1,"ص‌'",""),IF('اسفند 402'!AP80=1,"ع‌",""),IF('اسفند 402'!AQ80=1,"ع‌",""),IF('اسفند 402'!AP81=1,"ش‌",""),IF('اسفند 402'!AQ81=1,"ش'‌",""), IF('اسفند 402'!AP79="*","",""), IF('اسفند 402'!AP79="@","*",""))</f>
        <v/>
      </c>
      <c r="AQ75" s="92"/>
      <c r="AR75" s="92" t="str">
        <f>CONCATENATE( IF('اسفند 402'!AR79=1,"ص‌‌",""),IF('اسفند 402'!AS79=1,"ص‌'",""),IF('اسفند 402'!AR80=1,"ع‌",""),IF('اسفند 402'!AS80=1,"ع‌",""),IF('اسفند 402'!AR81=1,"ش‌",""),IF('اسفند 402'!AS81=1,"ش'‌",""), IF('اسفند 402'!AR79="*","",""), IF('اسفند 402'!AR79="@","*",""))</f>
        <v/>
      </c>
      <c r="AS75" s="92"/>
      <c r="AT75" s="92" t="str">
        <f>CONCATENATE( IF('اسفند 402'!AT79=1,"ص‌‌",""),IF('اسفند 402'!AU79=1,"ص‌'",""),IF('اسفند 402'!AT80=1,"ع‌",""),IF('اسفند 402'!AU80=1,"ع‌",""),IF('اسفند 402'!AT81=1,"ش‌",""),IF('اسفند 402'!AU81=1,"ش'‌",""), IF('اسفند 402'!AT79="*","",""), IF('اسفند 402'!AT79="@","*",""))</f>
        <v/>
      </c>
      <c r="AU75" s="92"/>
      <c r="AV75" s="93" t="str">
        <f>CONCATENATE( IF('اسفند 402'!AV79=1,"ص‌‌",""),IF('اسفند 402'!AW79=1,"ص‌'",""),IF('اسفند 402'!AV80=1,"ع‌",""),IF('اسفند 402'!AW80=1,"ع‌",""),IF('اسفند 402'!AV81=1,"ش‌",""),IF('اسفند 402'!AW81=1,"ش'‌",""), IF('اسفند 402'!AV79="*","",""), IF('اسفند 402'!AV79="@","*",""))</f>
        <v/>
      </c>
      <c r="AW75" s="93"/>
      <c r="AX75" s="93" t="str">
        <f>CONCATENATE( IF('اسفند 402'!AX79=1,"ص‌‌",""),IF('اسفند 402'!AY79=1,"ص‌'",""),IF('اسفند 402'!AX80=1,"ع‌",""),IF('اسفند 402'!AY80=1,"ع‌",""),IF('اسفند 402'!AX81=1,"ش‌",""),IF('اسفند 402'!AY81=1,"ش'‌",""), IF('اسفند 402'!AX79="*","",""), IF('اسفند 402'!AX79="@","*",""))</f>
        <v/>
      </c>
      <c r="AY75" s="93"/>
      <c r="AZ75" s="93" t="str">
        <f>CONCATENATE( IF('اسفند 402'!AZ79=1,"ص‌‌",""),IF('اسفند 402'!BA79=1,"ص‌'",""),IF('اسفند 402'!AZ80=1,"ع‌",""),IF('اسفند 402'!BA80=1,"ع‌",""),IF('اسفند 402'!AZ81=1,"ش‌",""),IF('اسفند 402'!BA81=1,"ش'‌",""), IF('اسفند 402'!AZ79="*","",""), IF('اسفند 402'!AZ79="@","*",""))</f>
        <v/>
      </c>
      <c r="BA75" s="93"/>
      <c r="BB75" s="92" t="str">
        <f>CONCATENATE( IF('اسفند 402'!BB79=1,"ص‌‌",""),IF('اسفند 402'!BC79=1,"ص‌'",""),IF('اسفند 402'!BB80=1,"ع‌",""),IF('اسفند 402'!BC80=1,"ع‌",""),IF('اسفند 402'!BB81=1,"ش‌",""),IF('اسفند 402'!BC81=1,"ش'‌",""), IF('اسفند 402'!BB79="*","",""), IF('اسفند 402'!BB79="@","*",""))</f>
        <v/>
      </c>
      <c r="BC75" s="92"/>
      <c r="BD75" s="92" t="str">
        <f>CONCATENATE( IF('اسفند 402'!BD79=1,"ص‌‌",""),IF('اسفند 402'!BE79=1,"ص‌'",""),IF('اسفند 402'!BD80=1,"ع‌",""),IF('اسفند 402'!BE80=1,"ع‌",""),IF('اسفند 402'!BD81=1,"ش‌",""),IF('اسفند 402'!BE81=1,"ش'‌",""), IF('اسفند 402'!BD79="*","",""), IF('اسفند 402'!BD79="@","*",""))</f>
        <v/>
      </c>
      <c r="BE75" s="92"/>
      <c r="BF75" s="92" t="str">
        <f>CONCATENATE( IF('اسفند 402'!BF79=1,"ص‌‌",""),IF('اسفند 402'!BG79=1,"ص‌'",""),IF('اسفند 402'!BF80=1,"ع‌",""),IF('اسفند 402'!BG80=1,"ع‌",""),IF('اسفند 402'!BF81=1,"ش‌",""),IF('اسفند 402'!BG81=1,"ش'‌",""), IF('اسفند 402'!BF79="*","",""), IF('اسفند 402'!BF79="@","*",""))</f>
        <v/>
      </c>
      <c r="BG75" s="92"/>
      <c r="BH75" s="92" t="str">
        <f>CONCATENATE( IF('اسفند 402'!BH79=1,"ص‌‌",""),IF('اسفند 402'!BI79=1,"ص‌'",""),IF('اسفند 402'!BH80=1,"ع‌",""),IF('اسفند 402'!BI80=1,"ع‌",""),IF('اسفند 402'!BH81=1,"ش‌",""),IF('اسفند 402'!BI81=1,"ش'‌",""), IF('اسفند 402'!BH79="*","",""), IF('اسفند 402'!BH79="@","*",""))</f>
        <v/>
      </c>
      <c r="BI75" s="92"/>
      <c r="BJ75" s="92" t="str">
        <f>CONCATENATE( IF('اسفند 402'!BJ79=1,"ص‌‌",""),IF('اسفند 402'!BK79=1,"ص‌'",""),IF('اسفند 402'!BJ80=1,"ع‌",""),IF('اسفند 402'!BK80=1,"ع‌",""),IF('اسفند 402'!BJ81=1,"ش‌",""),IF('اسفند 402'!BK81=1,"ش'‌",""), IF('اسفند 402'!BJ79="*","",""), IF('اسفند 402'!BJ79="@","*",""))</f>
        <v/>
      </c>
      <c r="BK75" s="92"/>
      <c r="BL75" s="92" t="str">
        <f>CONCATENATE( IF('اسفند 402'!BL79=1,"ص‌‌",""),IF('اسفند 402'!BM79=1,"ص‌'",""),IF('اسفند 402'!BL80=1,"ع‌",""),IF('اسفند 402'!BM80=1,"ع‌",""),IF('اسفند 402'!BL81=1,"ش‌",""),IF('اسفند 402'!BM81=1,"ش'‌",""), IF('اسفند 402'!BL79="*","",""), IF('اسفند 402'!BL79="@","*",""))</f>
        <v/>
      </c>
      <c r="BM75" s="92"/>
      <c r="BN75" s="93" t="str">
        <f>CONCATENATE( IF('اسفند 402'!BN79=1,"ص‌‌",""),IF('اسفند 402'!BO79=1,"ص‌'",""),IF('اسفند 402'!BN80=1,"ع‌",""),IF('اسفند 402'!BO80=1,"ع‌",""),IF('اسفند 402'!BN81=1,"ش‌",""),IF('اسفند 402'!BO81=1,"ش'‌",""), IF('اسفند 402'!BN79="*","",""), IF('اسفند 402'!BN79="@","*",""))</f>
        <v/>
      </c>
      <c r="BO75" s="93"/>
      <c r="BP75" s="82">
        <f>'اسفند 402'!C80</f>
        <v>0</v>
      </c>
    </row>
    <row r="76" spans="1:68" ht="6" customHeight="1" x14ac:dyDescent="0.45">
      <c r="A76" s="84"/>
      <c r="B76" s="84"/>
      <c r="C76" s="84"/>
      <c r="D76" s="111"/>
      <c r="E76" s="84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3"/>
      <c r="AM76" s="93"/>
      <c r="AN76" s="92"/>
      <c r="AO76" s="92"/>
      <c r="AP76" s="92"/>
      <c r="AQ76" s="92"/>
      <c r="AR76" s="92"/>
      <c r="AS76" s="92"/>
      <c r="AT76" s="92"/>
      <c r="AU76" s="92"/>
      <c r="AV76" s="93"/>
      <c r="AW76" s="93"/>
      <c r="AX76" s="93"/>
      <c r="AY76" s="93"/>
      <c r="AZ76" s="93"/>
      <c r="BA76" s="93"/>
      <c r="BB76" s="92"/>
      <c r="BC76" s="92"/>
      <c r="BD76" s="92"/>
      <c r="BE76" s="92"/>
      <c r="BF76" s="92"/>
      <c r="BG76" s="92"/>
      <c r="BH76" s="92"/>
      <c r="BI76" s="92"/>
      <c r="BJ76" s="92"/>
      <c r="BK76" s="92"/>
      <c r="BL76" s="92"/>
      <c r="BM76" s="92"/>
      <c r="BN76" s="93"/>
      <c r="BO76" s="93"/>
      <c r="BP76" s="82"/>
    </row>
    <row r="77" spans="1:68" ht="6" customHeight="1" x14ac:dyDescent="0.45">
      <c r="A77" s="84"/>
      <c r="B77" s="84"/>
      <c r="C77" s="84"/>
      <c r="D77" s="111"/>
      <c r="E77" s="84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3"/>
      <c r="AM77" s="93"/>
      <c r="AN77" s="92"/>
      <c r="AO77" s="92"/>
      <c r="AP77" s="92"/>
      <c r="AQ77" s="92"/>
      <c r="AR77" s="92"/>
      <c r="AS77" s="92"/>
      <c r="AT77" s="92"/>
      <c r="AU77" s="92"/>
      <c r="AV77" s="93"/>
      <c r="AW77" s="93"/>
      <c r="AX77" s="93"/>
      <c r="AY77" s="93"/>
      <c r="AZ77" s="93"/>
      <c r="BA77" s="93"/>
      <c r="BB77" s="92"/>
      <c r="BC77" s="92"/>
      <c r="BD77" s="92"/>
      <c r="BE77" s="92"/>
      <c r="BF77" s="92"/>
      <c r="BG77" s="92"/>
      <c r="BH77" s="92"/>
      <c r="BI77" s="92"/>
      <c r="BJ77" s="92"/>
      <c r="BK77" s="92"/>
      <c r="BL77" s="92"/>
      <c r="BM77" s="92"/>
      <c r="BN77" s="93"/>
      <c r="BO77" s="93"/>
      <c r="BP77" s="82"/>
    </row>
    <row r="78" spans="1:68" ht="6" customHeight="1" x14ac:dyDescent="0.45">
      <c r="A78" s="84"/>
      <c r="B78" s="84">
        <v>26</v>
      </c>
      <c r="C78" s="84">
        <f>'اسفند 402'!B82</f>
        <v>0</v>
      </c>
      <c r="D78" s="111"/>
      <c r="E78" s="84">
        <v>26</v>
      </c>
      <c r="F78" s="92" t="str">
        <f>CONCATENATE( IF('اسفند 402'!F82=1,"ص‌‌",""),IF('اسفند 402'!G82=1,"ص‌'",""),IF('اسفند 402'!F83=1,"ع‌",""),IF('اسفند 402'!G83=1,"ع‌",""),IF('اسفند 402'!F84=1,"ش‌",""),IF('اسفند 402'!G84=1,"ش'‌",""), IF('اسفند 402'!F82="*","",""), IF('اسفند 402'!F82="@","*",""))</f>
        <v/>
      </c>
      <c r="G78" s="92"/>
      <c r="H78" s="92" t="str">
        <f>CONCATENATE( IF('اسفند 402'!H82=1,"ص‌‌",""),IF('اسفند 402'!I82=1,"ص‌'",""),IF('اسفند 402'!H83=1,"ع‌",""),IF('اسفند 402'!I83=1,"ع‌",""),IF('اسفند 402'!H84=1,"ش‌",""),IF('اسفند 402'!I84=1,"ش'‌",""), IF('اسفند 402'!H82="*","",""), IF('اسفند 402'!H82="@","*",""))</f>
        <v/>
      </c>
      <c r="I78" s="92"/>
      <c r="J78" s="92" t="str">
        <f>CONCATENATE( IF('اسفند 402'!J82=1,"ص‌‌",""),IF('اسفند 402'!K82=1,"ص‌'",""),IF('اسفند 402'!J83=1,"ع‌",""),IF('اسفند 402'!K83=1,"ع‌",""),IF('اسفند 402'!J84=1,"ش‌",""),IF('اسفند 402'!K84=1,"ش'‌",""), IF('اسفند 402'!J82="*","",""), IF('اسفند 402'!J82="@","*",""))</f>
        <v/>
      </c>
      <c r="K78" s="92"/>
      <c r="L78" s="92" t="str">
        <f>CONCATENATE( IF('اسفند 402'!L82=1,"ص‌‌",""),IF('اسفند 402'!M82=1,"ص‌'",""),IF('اسفند 402'!L83=1,"ع‌",""),IF('اسفند 402'!M83=1,"ع‌",""),IF('اسفند 402'!L84=1,"ش‌",""),IF('اسفند 402'!M84=1,"ش'‌",""), IF('اسفند 402'!L82="*","",""), IF('اسفند 402'!L82="@","*",""))</f>
        <v/>
      </c>
      <c r="M78" s="92"/>
      <c r="N78" s="92" t="str">
        <f>CONCATENATE( IF('اسفند 402'!N82=1,"ص‌‌",""),IF('اسفند 402'!O82=1,"ص‌'",""),IF('اسفند 402'!N83=1,"ع‌",""),IF('اسفند 402'!O83=1,"ع‌",""),IF('اسفند 402'!N84=1,"ش‌",""),IF('اسفند 402'!O84=1,"ش'‌",""), IF('اسفند 402'!N82="*","",""), IF('اسفند 402'!N82="@","*",""))</f>
        <v/>
      </c>
      <c r="O78" s="92"/>
      <c r="P78" s="92" t="str">
        <f>CONCATENATE( IF('اسفند 402'!P82=1,"ص‌‌",""),IF('اسفند 402'!Q82=1,"ص‌'",""),IF('اسفند 402'!P83=1,"ع‌",""),IF('اسفند 402'!Q83=1,"ع‌",""),IF('اسفند 402'!P84=1,"ش‌",""),IF('اسفند 402'!Q84=1,"ش'‌",""), IF('اسفند 402'!P82="*","",""), IF('اسفند 402'!P82="@","*",""))</f>
        <v/>
      </c>
      <c r="Q78" s="92"/>
      <c r="R78" s="92" t="str">
        <f>CONCATENATE( IF('اسفند 402'!R82=1,"ص‌‌",""),IF('اسفند 402'!S82=1,"ص‌'",""),IF('اسفند 402'!R83=1,"ع‌",""),IF('اسفند 402'!S83=1,"ع‌",""),IF('اسفند 402'!R84=1,"ش‌",""),IF('اسفند 402'!S84=1,"ش'‌",""), IF('اسفند 402'!R82="*","",""), IF('اسفند 402'!R82="@","*",""))</f>
        <v/>
      </c>
      <c r="S78" s="92"/>
      <c r="T78" s="92" t="str">
        <f>CONCATENATE( IF('اسفند 402'!T82=1,"ص‌‌",""),IF('اسفند 402'!U82=1,"ص‌'",""),IF('اسفند 402'!T83=1,"ع‌",""),IF('اسفند 402'!U83=1,"ع‌",""),IF('اسفند 402'!T84=1,"ش‌",""),IF('اسفند 402'!U84=1,"ش'‌",""), IF('اسفند 402'!T82="*","",""), IF('اسفند 402'!T82="@","*",""))</f>
        <v/>
      </c>
      <c r="U78" s="92"/>
      <c r="V78" s="92" t="str">
        <f>CONCATENATE( IF('اسفند 402'!V82=1,"ص‌‌",""),IF('اسفند 402'!W82=1,"ص‌'",""),IF('اسفند 402'!V83=1,"ع‌",""),IF('اسفند 402'!W83=1,"ع‌",""),IF('اسفند 402'!V84=1,"ش‌",""),IF('اسفند 402'!W84=1,"ش'‌",""), IF('اسفند 402'!V82="*","",""), IF('اسفند 402'!V82="@","*",""))</f>
        <v/>
      </c>
      <c r="W78" s="92"/>
      <c r="X78" s="92" t="str">
        <f>CONCATENATE( IF('اسفند 402'!X82=1,"ص‌‌",""),IF('اسفند 402'!Y82=1,"ص‌'",""),IF('اسفند 402'!X83=1,"ع‌",""),IF('اسفند 402'!Y83=1,"ع‌",""),IF('اسفند 402'!X84=1,"ش‌",""),IF('اسفند 402'!Y84=1,"ش'‌",""), IF('اسفند 402'!X82="*","",""), IF('اسفند 402'!X82="@","*",""))</f>
        <v/>
      </c>
      <c r="Y78" s="92"/>
      <c r="Z78" s="92" t="str">
        <f>CONCATENATE( IF('اسفند 402'!Z82=1,"ص‌‌",""),IF('اسفند 402'!AA82=1,"ص‌'",""),IF('اسفند 402'!Z83=1,"ع‌",""),IF('اسفند 402'!AA83=1,"ع‌",""),IF('اسفند 402'!Z84=1,"ش‌",""),IF('اسفند 402'!AA84=1,"ش'‌",""), IF('اسفند 402'!Z82="*","",""), IF('اسفند 402'!Z82="@","*",""))</f>
        <v/>
      </c>
      <c r="AA78" s="92"/>
      <c r="AB78" s="92" t="str">
        <f>CONCATENATE( IF('اسفند 402'!AB82=1,"ص‌‌",""),IF('اسفند 402'!AC82=1,"ص‌'",""),IF('اسفند 402'!AB83=1,"ع‌",""),IF('اسفند 402'!AC83=1,"ع‌",""),IF('اسفند 402'!AB84=1,"ش‌",""),IF('اسفند 402'!AC84=1,"ش'‌",""), IF('اسفند 402'!AB82="*","",""), IF('اسفند 402'!AB82="@","*",""))</f>
        <v/>
      </c>
      <c r="AC78" s="92"/>
      <c r="AD78" s="92" t="str">
        <f>CONCATENATE( IF('اسفند 402'!AD82=1,"ص‌‌",""),IF('اسفند 402'!AE82=1,"ص‌'",""),IF('اسفند 402'!AD83=1,"ع‌",""),IF('اسفند 402'!AE83=1,"ع‌",""),IF('اسفند 402'!AD84=1,"ش‌",""),IF('اسفند 402'!AE84=1,"ش'‌",""), IF('اسفند 402'!AD82="*","",""), IF('اسفند 402'!AD82="@","*",""))</f>
        <v/>
      </c>
      <c r="AE78" s="92"/>
      <c r="AF78" s="92" t="str">
        <f>CONCATENATE( IF('اسفند 402'!AF82=1,"ص‌‌",""),IF('اسفند 402'!AG82=1,"ص‌'",""),IF('اسفند 402'!AF83=1,"ع‌",""),IF('اسفند 402'!AG83=1,"ع‌",""),IF('اسفند 402'!AF84=1,"ش‌",""),IF('اسفند 402'!AG84=1,"ش'‌",""), IF('اسفند 402'!AF82="*","",""), IF('اسفند 402'!AF82="@","*",""))</f>
        <v/>
      </c>
      <c r="AG78" s="92"/>
      <c r="AH78" s="92" t="str">
        <f>CONCATENATE( IF('اسفند 402'!AH82=1,"ص‌‌",""),IF('اسفند 402'!AI82=1,"ص‌'",""),IF('اسفند 402'!AH83=1,"ع‌",""),IF('اسفند 402'!AI83=1,"ع‌",""),IF('اسفند 402'!AH84=1,"ش‌",""),IF('اسفند 402'!AI84=1,"ش'‌",""), IF('اسفند 402'!AH82="*","",""), IF('اسفند 402'!AH82="@","*",""))</f>
        <v/>
      </c>
      <c r="AI78" s="92"/>
      <c r="AJ78" s="92" t="str">
        <f>CONCATENATE( IF('اسفند 402'!AJ82=1,"ص‌‌",""),IF('اسفند 402'!AK82=1,"ص‌'",""),IF('اسفند 402'!AJ83=1,"ع‌",""),IF('اسفند 402'!AK83=1,"ع‌",""),IF('اسفند 402'!AJ84=1,"ش‌",""),IF('اسفند 402'!AK84=1,"ش'‌",""), IF('اسفند 402'!AJ82="*","",""), IF('اسفند 402'!AJ82="@","*",""))</f>
        <v/>
      </c>
      <c r="AK78" s="92"/>
      <c r="AL78" s="93" t="str">
        <f>CONCATENATE( IF('اسفند 402'!AL82=1,"ص‌‌",""),IF('اسفند 402'!AM82=1,"ص‌'",""),IF('اسفند 402'!AL83=1,"ع‌",""),IF('اسفند 402'!AM83=1,"ع‌",""),IF('اسفند 402'!AL84=1,"ش‌",""),IF('اسفند 402'!AM84=1,"ش'‌",""), IF('اسفند 402'!AL82="*","",""), IF('اسفند 402'!AL82="@","*",""))</f>
        <v/>
      </c>
      <c r="AM78" s="93"/>
      <c r="AN78" s="92" t="str">
        <f>CONCATENATE( IF('اسفند 402'!AN82=1,"ص‌‌",""),IF('اسفند 402'!AO82=1,"ص‌'",""),IF('اسفند 402'!AN83=1,"ع‌",""),IF('اسفند 402'!AO83=1,"ع‌",""),IF('اسفند 402'!AN84=1,"ش‌",""),IF('اسفند 402'!AO84=1,"ش'‌",""), IF('اسفند 402'!AN82="*","",""), IF('اسفند 402'!AN82="@","*",""))</f>
        <v/>
      </c>
      <c r="AO78" s="92"/>
      <c r="AP78" s="92" t="str">
        <f>CONCATENATE( IF('اسفند 402'!AP82=1,"ص‌‌",""),IF('اسفند 402'!AQ82=1,"ص‌'",""),IF('اسفند 402'!AP83=1,"ع‌",""),IF('اسفند 402'!AQ83=1,"ع‌",""),IF('اسفند 402'!AP84=1,"ش‌",""),IF('اسفند 402'!AQ84=1,"ش'‌",""), IF('اسفند 402'!AP82="*","",""), IF('اسفند 402'!AP82="@","*",""))</f>
        <v/>
      </c>
      <c r="AQ78" s="92"/>
      <c r="AR78" s="92" t="str">
        <f>CONCATENATE( IF('اسفند 402'!AR82=1,"ص‌‌",""),IF('اسفند 402'!AS82=1,"ص‌'",""),IF('اسفند 402'!AR83=1,"ع‌",""),IF('اسفند 402'!AS83=1,"ع‌",""),IF('اسفند 402'!AR84=1,"ش‌",""),IF('اسفند 402'!AS84=1,"ش'‌",""), IF('اسفند 402'!AR82="*","",""), IF('اسفند 402'!AR82="@","*",""))</f>
        <v/>
      </c>
      <c r="AS78" s="92"/>
      <c r="AT78" s="92" t="str">
        <f>CONCATENATE( IF('اسفند 402'!AT82=1,"ص‌‌",""),IF('اسفند 402'!AU82=1,"ص‌'",""),IF('اسفند 402'!AT83=1,"ع‌",""),IF('اسفند 402'!AU83=1,"ع‌",""),IF('اسفند 402'!AT84=1,"ش‌",""),IF('اسفند 402'!AU84=1,"ش'‌",""), IF('اسفند 402'!AT82="*","",""), IF('اسفند 402'!AT82="@","*",""))</f>
        <v/>
      </c>
      <c r="AU78" s="92"/>
      <c r="AV78" s="93" t="str">
        <f>CONCATENATE( IF('اسفند 402'!AV82=1,"ص‌‌",""),IF('اسفند 402'!AW82=1,"ص‌'",""),IF('اسفند 402'!AV83=1,"ع‌",""),IF('اسفند 402'!AW83=1,"ع‌",""),IF('اسفند 402'!AV84=1,"ش‌",""),IF('اسفند 402'!AW84=1,"ش'‌",""), IF('اسفند 402'!AV82="*","",""), IF('اسفند 402'!AV82="@","*",""))</f>
        <v/>
      </c>
      <c r="AW78" s="93"/>
      <c r="AX78" s="93" t="str">
        <f>CONCATENATE( IF('اسفند 402'!AX82=1,"ص‌‌",""),IF('اسفند 402'!AY82=1,"ص‌'",""),IF('اسفند 402'!AX83=1,"ع‌",""),IF('اسفند 402'!AY83=1,"ع‌",""),IF('اسفند 402'!AX84=1,"ش‌",""),IF('اسفند 402'!AY84=1,"ش'‌",""), IF('اسفند 402'!AX82="*","",""), IF('اسفند 402'!AX82="@","*",""))</f>
        <v/>
      </c>
      <c r="AY78" s="93"/>
      <c r="AZ78" s="93" t="str">
        <f>CONCATENATE( IF('اسفند 402'!AZ82=1,"ص‌‌",""),IF('اسفند 402'!BA82=1,"ص‌'",""),IF('اسفند 402'!AZ83=1,"ع‌",""),IF('اسفند 402'!BA83=1,"ع‌",""),IF('اسفند 402'!AZ84=1,"ش‌",""),IF('اسفند 402'!BA84=1,"ش'‌",""), IF('اسفند 402'!AZ82="*","",""), IF('اسفند 402'!AZ82="@","*",""))</f>
        <v/>
      </c>
      <c r="BA78" s="93"/>
      <c r="BB78" s="92" t="str">
        <f>CONCATENATE( IF('اسفند 402'!BB82=1,"ص‌‌",""),IF('اسفند 402'!BC82=1,"ص‌'",""),IF('اسفند 402'!BB83=1,"ع‌",""),IF('اسفند 402'!BC83=1,"ع‌",""),IF('اسفند 402'!BB84=1,"ش‌",""),IF('اسفند 402'!BC84=1,"ش'‌",""), IF('اسفند 402'!BB82="*","",""), IF('اسفند 402'!BB82="@","*",""))</f>
        <v/>
      </c>
      <c r="BC78" s="92"/>
      <c r="BD78" s="92" t="str">
        <f>CONCATENATE( IF('اسفند 402'!BD82=1,"ص‌‌",""),IF('اسفند 402'!BE82=1,"ص‌'",""),IF('اسفند 402'!BD83=1,"ع‌",""),IF('اسفند 402'!BE83=1,"ع‌",""),IF('اسفند 402'!BD84=1,"ش‌",""),IF('اسفند 402'!BE84=1,"ش'‌",""), IF('اسفند 402'!BD82="*","",""), IF('اسفند 402'!BD82="@","*",""))</f>
        <v/>
      </c>
      <c r="BE78" s="92"/>
      <c r="BF78" s="92" t="str">
        <f>CONCATENATE( IF('اسفند 402'!BF82=1,"ص‌‌",""),IF('اسفند 402'!BG82=1,"ص‌'",""),IF('اسفند 402'!BF83=1,"ع‌",""),IF('اسفند 402'!BG83=1,"ع‌",""),IF('اسفند 402'!BF84=1,"ش‌",""),IF('اسفند 402'!BG84=1,"ش'‌",""), IF('اسفند 402'!BF82="*","",""), IF('اسفند 402'!BF82="@","*",""))</f>
        <v/>
      </c>
      <c r="BG78" s="92"/>
      <c r="BH78" s="92" t="str">
        <f>CONCATENATE( IF('اسفند 402'!BH82=1,"ص‌‌",""),IF('اسفند 402'!BI82=1,"ص‌'",""),IF('اسفند 402'!BH83=1,"ع‌",""),IF('اسفند 402'!BI83=1,"ع‌",""),IF('اسفند 402'!BH84=1,"ش‌",""),IF('اسفند 402'!BI84=1,"ش'‌",""), IF('اسفند 402'!BH82="*","",""), IF('اسفند 402'!BH82="@","*",""))</f>
        <v/>
      </c>
      <c r="BI78" s="92"/>
      <c r="BJ78" s="92" t="str">
        <f>CONCATENATE( IF('اسفند 402'!BJ82=1,"ص‌‌",""),IF('اسفند 402'!BK82=1,"ص‌'",""),IF('اسفند 402'!BJ83=1,"ع‌",""),IF('اسفند 402'!BK83=1,"ع‌",""),IF('اسفند 402'!BJ84=1,"ش‌",""),IF('اسفند 402'!BK84=1,"ش'‌",""), IF('اسفند 402'!BJ82="*","",""), IF('اسفند 402'!BJ82="@","*",""))</f>
        <v/>
      </c>
      <c r="BK78" s="92"/>
      <c r="BL78" s="92" t="str">
        <f>CONCATENATE( IF('اسفند 402'!BL82=1,"ص‌‌",""),IF('اسفند 402'!BM82=1,"ص‌'",""),IF('اسفند 402'!BL83=1,"ع‌",""),IF('اسفند 402'!BM83=1,"ع‌",""),IF('اسفند 402'!BL84=1,"ش‌",""),IF('اسفند 402'!BM84=1,"ش'‌",""), IF('اسفند 402'!BL82="*","",""), IF('اسفند 402'!BL82="@","*",""))</f>
        <v/>
      </c>
      <c r="BM78" s="92"/>
      <c r="BN78" s="93" t="str">
        <f>CONCATENATE( IF('اسفند 402'!BN82=1,"ص‌‌",""),IF('اسفند 402'!BO82=1,"ص‌'",""),IF('اسفند 402'!BN83=1,"ع‌",""),IF('اسفند 402'!BO83=1,"ع‌",""),IF('اسفند 402'!BN84=1,"ش‌",""),IF('اسفند 402'!BO84=1,"ش'‌",""), IF('اسفند 402'!BN82="*","",""), IF('اسفند 402'!BN82="@","*",""))</f>
        <v/>
      </c>
      <c r="BO78" s="93"/>
      <c r="BP78" s="82">
        <f>'اسفند 402'!C83</f>
        <v>0</v>
      </c>
    </row>
    <row r="79" spans="1:68" ht="6" customHeight="1" x14ac:dyDescent="0.45">
      <c r="A79" s="84"/>
      <c r="B79" s="84"/>
      <c r="C79" s="84"/>
      <c r="D79" s="111"/>
      <c r="E79" s="84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3"/>
      <c r="AM79" s="93"/>
      <c r="AN79" s="92"/>
      <c r="AO79" s="92"/>
      <c r="AP79" s="92"/>
      <c r="AQ79" s="92"/>
      <c r="AR79" s="92"/>
      <c r="AS79" s="92"/>
      <c r="AT79" s="92"/>
      <c r="AU79" s="92"/>
      <c r="AV79" s="93"/>
      <c r="AW79" s="93"/>
      <c r="AX79" s="93"/>
      <c r="AY79" s="93"/>
      <c r="AZ79" s="93"/>
      <c r="BA79" s="93"/>
      <c r="BB79" s="92"/>
      <c r="BC79" s="92"/>
      <c r="BD79" s="92"/>
      <c r="BE79" s="92"/>
      <c r="BF79" s="92"/>
      <c r="BG79" s="92"/>
      <c r="BH79" s="92"/>
      <c r="BI79" s="92"/>
      <c r="BJ79" s="92"/>
      <c r="BK79" s="92"/>
      <c r="BL79" s="92"/>
      <c r="BM79" s="92"/>
      <c r="BN79" s="93"/>
      <c r="BO79" s="93"/>
      <c r="BP79" s="82"/>
    </row>
    <row r="80" spans="1:68" ht="6" customHeight="1" x14ac:dyDescent="0.45">
      <c r="A80" s="84"/>
      <c r="B80" s="84"/>
      <c r="C80" s="84"/>
      <c r="D80" s="111"/>
      <c r="E80" s="84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3"/>
      <c r="AM80" s="93"/>
      <c r="AN80" s="92"/>
      <c r="AO80" s="92"/>
      <c r="AP80" s="92"/>
      <c r="AQ80" s="92"/>
      <c r="AR80" s="92"/>
      <c r="AS80" s="92"/>
      <c r="AT80" s="92"/>
      <c r="AU80" s="92"/>
      <c r="AV80" s="93"/>
      <c r="AW80" s="93"/>
      <c r="AX80" s="93"/>
      <c r="AY80" s="93"/>
      <c r="AZ80" s="93"/>
      <c r="BA80" s="93"/>
      <c r="BB80" s="92"/>
      <c r="BC80" s="92"/>
      <c r="BD80" s="92"/>
      <c r="BE80" s="92"/>
      <c r="BF80" s="92"/>
      <c r="BG80" s="92"/>
      <c r="BH80" s="92"/>
      <c r="BI80" s="92"/>
      <c r="BJ80" s="92"/>
      <c r="BK80" s="92"/>
      <c r="BL80" s="92"/>
      <c r="BM80" s="92"/>
      <c r="BN80" s="93"/>
      <c r="BO80" s="93"/>
      <c r="BP80" s="82"/>
    </row>
    <row r="81" spans="1:68" ht="7.5" customHeight="1" x14ac:dyDescent="0.45">
      <c r="A81" s="84"/>
      <c r="B81" s="84">
        <v>27</v>
      </c>
      <c r="C81" s="84">
        <f>'اسفند 402'!B85</f>
        <v>0</v>
      </c>
      <c r="D81" s="111"/>
      <c r="E81" s="84">
        <v>27</v>
      </c>
      <c r="F81" s="83" t="str">
        <f>CONCATENATE( IF('اسفند 402'!F85=1,"ص‌‌",""),IF('اسفند 402'!G85=1,"ص‌'",""),IF('اسفند 402'!F86=1,"ع‌",""),IF('اسفند 402'!G86=1,"ع‌",""),IF('اسفند 402'!F87=1,"ش‌",""),IF('اسفند 402'!G87=1,"ش'‌",""), IF('اسفند 402'!F85="*","*‌‌",""))</f>
        <v/>
      </c>
      <c r="G81" s="83"/>
      <c r="H81" s="96" t="str">
        <f>CONCATENATE( IF('اسفند 402'!H85=1,"ص‌‌",""),IF('اسفند 402'!I85=1,"ص‌'",""),IF('اسفند 402'!H86=1,"ع‌",""),IF('اسفند 402'!I86=1,"ع‌",""),IF('اسفند 402'!H87=1,"ش‌",""),IF('اسفند 402'!I87=1,"ش'‌",""), IF('اسفند 402'!H85="*","*‌‌",""))</f>
        <v/>
      </c>
      <c r="I81" s="97"/>
      <c r="J81" s="96" t="str">
        <f>CONCATENATE( IF('اسفند 402'!J85=1,"ص‌‌",""),IF('اسفند 402'!K85=1,"ص‌'",""),IF('اسفند 402'!J86=1,"ع‌",""),IF('اسفند 402'!K86=1,"ع‌",""),IF('اسفند 402'!J87=1,"ش‌",""),IF('اسفند 402'!K87=1,"ش'‌",""), IF('اسفند 402'!J85="*","*‌‌",""))</f>
        <v/>
      </c>
      <c r="K81" s="97"/>
      <c r="L81" s="101" t="str">
        <f>CONCATENATE( IF('اسفند 402'!L85=1,"ص‌‌",""),IF('اسفند 402'!M85=1,"ص‌'",""),IF('اسفند 402'!L86=1,"ع‌",""),IF('اسفند 402'!M86=1,"ع‌",""),IF('اسفند 402'!L87=1,"ش‌",""),IF('اسفند 402'!M87=1,"ش'‌",""), IF('اسفند 402'!L85="*","*‌‌",""))</f>
        <v/>
      </c>
      <c r="M81" s="102"/>
      <c r="N81" s="96" t="str">
        <f>CONCATENATE( IF('اسفند 402'!N85=1,"ص‌‌",""),IF('اسفند 402'!O85=1,"ص‌'",""),IF('اسفند 402'!N86=1,"ع‌",""),IF('اسفند 402'!O86=1,"ع‌",""),IF('اسفند 402'!N87=1,"ش‌",""),IF('اسفند 402'!O87=1,"ش'‌",""), IF('اسفند 402'!N85="*","*‌‌",""))</f>
        <v/>
      </c>
      <c r="O81" s="97"/>
      <c r="P81" s="101" t="str">
        <f>CONCATENATE( IF('اسفند 402'!P85=1,"ص‌‌",""),IF('اسفند 402'!Q85=1,"ص‌'",""),IF('اسفند 402'!P86=1,"ع‌",""),IF('اسفند 402'!Q86=1,"ع‌",""),IF('اسفند 402'!P87=1,"ش‌",""),IF('اسفند 402'!Q87=1,"ش'‌",""), IF('اسفند 402'!P85="*","*‌‌",""))</f>
        <v/>
      </c>
      <c r="Q81" s="102"/>
      <c r="R81" s="96" t="str">
        <f>CONCATENATE( IF('اسفند 402'!R85=1,"ص‌‌",""),IF('اسفند 402'!S85=1,"ص‌'",""),IF('اسفند 402'!R86=1,"ع‌",""),IF('اسفند 402'!S86=1,"ع‌",""),IF('اسفند 402'!R87=1,"ش‌",""),IF('اسفند 402'!S87=1,"ش'‌",""), IF('اسفند 402'!R85="*","*‌‌",""))</f>
        <v/>
      </c>
      <c r="S81" s="97"/>
      <c r="T81" s="96" t="str">
        <f>CONCATENATE( IF('اسفند 402'!T85=1,"ص‌‌",""),IF('اسفند 402'!U85=1,"ص‌'",""),IF('اسفند 402'!T86=1,"ع‌",""),IF('اسفند 402'!U86=1,"ع‌",""),IF('اسفند 402'!T87=1,"ش‌",""),IF('اسفند 402'!U87=1,"ش'‌",""), IF('اسفند 402'!T85="*","*‌‌",""))</f>
        <v/>
      </c>
      <c r="U81" s="97"/>
      <c r="V81" s="96" t="str">
        <f>CONCATENATE( IF('اسفند 402'!V85=1,"ص‌‌",""),IF('اسفند 402'!W85=1,"ص‌'",""),IF('اسفند 402'!V86=1,"ع‌",""),IF('اسفند 402'!W86=1,"ع‌",""),IF('اسفند 402'!V87=1,"ش‌",""),IF('اسفند 402'!W87=1,"ش'‌",""), IF('اسفند 402'!V85="*","*‌‌",""))</f>
        <v/>
      </c>
      <c r="W81" s="97"/>
      <c r="X81" s="96" t="str">
        <f>CONCATENATE( IF('اسفند 402'!X85=1,"ص‌‌",""),IF('اسفند 402'!Y85=1,"ص‌'",""),IF('اسفند 402'!X86=1,"ع‌",""),IF('اسفند 402'!Y86=1,"ع‌",""),IF('اسفند 402'!X87=1,"ش‌",""),IF('اسفند 402'!Y87=1,"ش'‌",""), IF('اسفند 402'!X85="*","*‌‌",""))</f>
        <v/>
      </c>
      <c r="Y81" s="97"/>
      <c r="Z81" s="101" t="str">
        <f>CONCATENATE( IF('اسفند 402'!Z85=1,"ص‌‌",""),IF('اسفند 402'!AA85=1,"ص‌'",""),IF('اسفند 402'!Z86=1,"ع‌",""),IF('اسفند 402'!AA86=1,"ع‌",""),IF('اسفند 402'!Z87=1,"ش‌",""),IF('اسفند 402'!AA87=1,"ش'‌",""), IF('اسفند 402'!Z85="*","*‌‌",""))</f>
        <v/>
      </c>
      <c r="AA81" s="102"/>
      <c r="AB81" s="96" t="str">
        <f>CONCATENATE( IF('اسفند 402'!AB85=1,"ص‌‌",""),IF('اسفند 402'!AC85=1,"ص‌'",""),IF('اسفند 402'!AB86=1,"ع‌",""),IF('اسفند 402'!AC86=1,"ع‌",""),IF('اسفند 402'!AB87=1,"ش‌",""),IF('اسفند 402'!AC87=1,"ش'‌",""), IF('اسفند 402'!AB85="*","*‌‌",""))</f>
        <v/>
      </c>
      <c r="AC81" s="97"/>
      <c r="AD81" s="96" t="str">
        <f>CONCATENATE( IF('اسفند 402'!AD85=1,"ص‌‌",""),IF('اسفند 402'!AE85=1,"ص‌'",""),IF('اسفند 402'!AD86=1,"ع‌",""),IF('اسفند 402'!AE86=1,"ع‌",""),IF('اسفند 402'!AD87=1,"ش‌",""),IF('اسفند 402'!AE87=1,"ش'‌",""), IF('اسفند 402'!AD85="*","*‌‌",""))</f>
        <v/>
      </c>
      <c r="AE81" s="97"/>
      <c r="AF81" s="96" t="str">
        <f>CONCATENATE( IF('اسفند 402'!AF85=1,"ص‌‌",""),IF('اسفند 402'!AG85=1,"ص‌'",""),IF('اسفند 402'!AF86=1,"ع‌",""),IF('اسفند 402'!AG86=1,"ع‌",""),IF('اسفند 402'!AF87=1,"ش‌",""),IF('اسفند 402'!AG87=1,"ش'‌",""), IF('اسفند 402'!AF85="*","*‌‌",""))</f>
        <v/>
      </c>
      <c r="AG81" s="97"/>
      <c r="AH81" s="96" t="str">
        <f>CONCATENATE( IF('اسفند 402'!AH85=1,"ص‌‌",""),IF('اسفند 402'!AI85=1,"ص‌'",""),IF('اسفند 402'!AH86=1,"ع‌",""),IF('اسفند 402'!AI86=1,"ع‌",""),IF('اسفند 402'!AH87=1,"ش‌",""),IF('اسفند 402'!AI87=1,"ش'‌",""), IF('اسفند 402'!AH85="*","*‌‌",""))</f>
        <v/>
      </c>
      <c r="AI81" s="97"/>
      <c r="AJ81" s="96" t="str">
        <f>CONCATENATE( IF('اسفند 402'!AJ85=1,"ص‌‌",""),IF('اسفند 402'!AK85=1,"ص‌'",""),IF('اسفند 402'!AJ86=1,"ع‌",""),IF('اسفند 402'!AK86=1,"ع‌",""),IF('اسفند 402'!AJ87=1,"ش‌",""),IF('اسفند 402'!AK87=1,"ش'‌",""), IF('اسفند 402'!AJ85="*","*‌‌",""))</f>
        <v/>
      </c>
      <c r="AK81" s="97"/>
      <c r="AL81" s="76" t="str">
        <f>CONCATENATE( IF('اسفند 402'!AL85=1,"ص‌‌",""),IF('اسفند 402'!AM85=1,"ص‌'",""),IF('اسفند 402'!AL86=1,"ع‌",""),IF('اسفند 402'!AM86=1,"ع‌",""),IF('اسفند 402'!AL87=1,"ش‌",""),IF('اسفند 402'!AM87=1,"ش'‌",""), IF('اسفند 402'!AL85="*","*‌‌",""))</f>
        <v/>
      </c>
      <c r="AM81" s="77"/>
      <c r="AN81" s="101" t="str">
        <f>CONCATENATE( IF('اسفند 402'!AN85=1,"ص‌‌",""),IF('اسفند 402'!AO85=1,"ص‌'",""),IF('اسفند 402'!AN86=1,"ع‌",""),IF('اسفند 402'!AO86=1,"ع‌",""),IF('اسفند 402'!AN87=1,"ش‌",""),IF('اسفند 402'!AO87=1,"ش'‌",""), IF('اسفند 402'!AN85="*","*‌‌",""))</f>
        <v/>
      </c>
      <c r="AO81" s="102"/>
      <c r="AP81" s="96" t="str">
        <f>CONCATENATE( IF('اسفند 402'!AP85=1,"ص‌‌",""),IF('اسفند 402'!AQ85=1,"ص‌'",""),IF('اسفند 402'!AP86=1,"ع‌",""),IF('اسفند 402'!AQ86=1,"ع‌",""),IF('اسفند 402'!AP87=1,"ش‌",""),IF('اسفند 402'!AQ87=1,"ش'‌",""), IF('اسفند 402'!AP85="*","*‌‌",""))</f>
        <v/>
      </c>
      <c r="AQ81" s="97"/>
      <c r="AR81" s="96" t="str">
        <f>CONCATENATE( IF('اسفند 402'!AR85=1,"ص‌‌",""),IF('اسفند 402'!AS85=1,"ص‌'",""),IF('اسفند 402'!AR86=1,"ع‌",""),IF('اسفند 402'!AS86=1,"ع‌",""),IF('اسفند 402'!AR87=1,"ش‌",""),IF('اسفند 402'!AS87=1,"ش'‌",""), IF('اسفند 402'!AR85="*","*‌‌",""))</f>
        <v/>
      </c>
      <c r="AS81" s="97"/>
      <c r="AT81" s="96" t="str">
        <f>CONCATENATE( IF('اسفند 402'!AT85=1,"ص‌‌",""),IF('اسفند 402'!AU85=1,"ص‌'",""),IF('اسفند 402'!AT86=1,"ع‌",""),IF('اسفند 402'!AU86=1,"ع‌",""),IF('اسفند 402'!AT87=1,"ش‌",""),IF('اسفند 402'!AU87=1,"ش'‌",""), IF('اسفند 402'!AT85="*","*‌‌",""))</f>
        <v/>
      </c>
      <c r="AU81" s="97"/>
      <c r="AV81" s="76" t="str">
        <f>CONCATENATE( IF('اسفند 402'!AV85=1,"ص‌‌",""),IF('اسفند 402'!AW85=1,"ص‌'",""),IF('اسفند 402'!AV86=1,"ع‌",""),IF('اسفند 402'!AW86=1,"ع‌",""),IF('اسفند 402'!AV87=1,"ش‌",""),IF('اسفند 402'!AW87=1,"ش'‌",""), IF('اسفند 402'!AV85="*","*‌‌",""))</f>
        <v/>
      </c>
      <c r="AW81" s="77"/>
      <c r="AX81" s="76" t="str">
        <f>CONCATENATE( IF('اسفند 402'!AX85=1,"ص‌‌",""),IF('اسفند 402'!AY85=1,"ص‌'",""),IF('اسفند 402'!AX86=1,"ع‌",""),IF('اسفند 402'!AY86=1,"ع‌",""),IF('اسفند 402'!AX87=1,"ش‌",""),IF('اسفند 402'!AY87=1,"ش'‌",""), IF('اسفند 402'!AX85="*","*‌‌",""))</f>
        <v/>
      </c>
      <c r="AY81" s="77"/>
      <c r="AZ81" s="76" t="str">
        <f>CONCATENATE( IF('اسفند 402'!AZ85=1,"ص‌‌",""),IF('اسفند 402'!BA85=1,"ص‌'",""),IF('اسفند 402'!AZ86=1,"ع‌",""),IF('اسفند 402'!BA86=1,"ع‌",""),IF('اسفند 402'!AZ87=1,"ش‌",""),IF('اسفند 402'!BA87=1,"ش'‌",""), IF('اسفند 402'!AZ85="*","*‌‌",""))</f>
        <v/>
      </c>
      <c r="BA81" s="77"/>
      <c r="BB81" s="101" t="str">
        <f>CONCATENATE( IF('اسفند 402'!BB85=1,"ص‌‌",""),IF('اسفند 402'!BC85=1,"ص‌'",""),IF('اسفند 402'!BB86=1,"ع‌",""),IF('اسفند 402'!BC86=1,"ع‌",""),IF('اسفند 402'!BB87=1,"ش‌",""),IF('اسفند 402'!BC87=1,"ش'‌",""), IF('اسفند 402'!BB85="*","*‌‌",""))</f>
        <v/>
      </c>
      <c r="BC81" s="102"/>
      <c r="BD81" s="96" t="str">
        <f>CONCATENATE( IF('اسفند 402'!BD85=1,"ص‌‌",""),IF('اسفند 402'!BE85=1,"ص‌'",""),IF('اسفند 402'!BD86=1,"ع‌",""),IF('اسفند 402'!BE86=1,"ع‌",""),IF('اسفند 402'!BD87=1,"ش‌",""),IF('اسفند 402'!BE87=1,"ش'‌",""), IF('اسفند 402'!BD85="*","*‌‌",""))</f>
        <v/>
      </c>
      <c r="BE81" s="97"/>
      <c r="BF81" s="96" t="str">
        <f>CONCATENATE( IF('اسفند 402'!BF85=1,"ص‌‌",""),IF('اسفند 402'!BG85=1,"ص‌'",""),IF('اسفند 402'!BF86=1,"ع‌",""),IF('اسفند 402'!BG86=1,"ع‌",""),IF('اسفند 402'!BF87=1,"ش‌",""),IF('اسفند 402'!BG87=1,"ش'‌",""), IF('اسفند 402'!BF85="*","*‌‌",""))</f>
        <v/>
      </c>
      <c r="BG81" s="97"/>
      <c r="BH81" s="96" t="str">
        <f>CONCATENATE( IF('اسفند 402'!BH85=1,"ص‌‌",""),IF('اسفند 402'!BI85=1,"ص‌'",""),IF('اسفند 402'!BH86=1,"ع‌",""),IF('اسفند 402'!BI86=1,"ع‌",""),IF('اسفند 402'!BH87=1,"ش‌",""),IF('اسفند 402'!BI87=1,"ش'‌",""), IF('اسفند 402'!BH85="*","*‌‌",""))</f>
        <v/>
      </c>
      <c r="BI81" s="97"/>
      <c r="BJ81" s="96" t="str">
        <f>CONCATENATE( IF('اسفند 402'!BJ85=1,"ص‌‌",""),IF('اسفند 402'!BK85=1,"ص‌'",""),IF('اسفند 402'!BJ86=1,"ع‌",""),IF('اسفند 402'!BK86=1,"ع‌",""),IF('اسفند 402'!BJ87=1,"ش‌",""),IF('اسفند 402'!BK87=1,"ش'‌",""), IF('اسفند 402'!BJ85="*","*‌‌",""))</f>
        <v/>
      </c>
      <c r="BK81" s="97"/>
      <c r="BL81" s="96" t="str">
        <f>'اسفند 402'!A85</f>
        <v>جمع شیفت</v>
      </c>
      <c r="BM81" s="97"/>
      <c r="BN81" s="93" t="str">
        <f>CONCATENATE( IF('اسفند 402'!BN85=1,"ص‌‌",""),IF('اسفند 402'!BN86=1,"ع‌",""),IF('اسفند 402'!BN87=1,"ش‌",""),IF('اسفند 402'!BQ85=1,"ص‌",""),IF('اسفند 402'!BQ86=1,"ع‌",""),IF('اسفند 402'!BQ87=1,"ش‌",""), IF('اسفند 402'!BN85="*","*‌‌",""))</f>
        <v/>
      </c>
      <c r="BO81" s="93"/>
      <c r="BP81" s="82">
        <f>'اسفند 402'!C86</f>
        <v>0</v>
      </c>
    </row>
    <row r="82" spans="1:68" ht="7.5" customHeight="1" x14ac:dyDescent="0.45">
      <c r="A82" s="84"/>
      <c r="B82" s="84"/>
      <c r="C82" s="84"/>
      <c r="D82" s="111"/>
      <c r="E82" s="84"/>
      <c r="F82" s="83"/>
      <c r="G82" s="83"/>
      <c r="H82" s="98"/>
      <c r="I82" s="89"/>
      <c r="J82" s="98"/>
      <c r="K82" s="89"/>
      <c r="L82" s="103"/>
      <c r="M82" s="104"/>
      <c r="N82" s="98"/>
      <c r="O82" s="89"/>
      <c r="P82" s="103"/>
      <c r="Q82" s="104"/>
      <c r="R82" s="98"/>
      <c r="S82" s="89"/>
      <c r="T82" s="98"/>
      <c r="U82" s="89"/>
      <c r="V82" s="98"/>
      <c r="W82" s="89"/>
      <c r="X82" s="98"/>
      <c r="Y82" s="89"/>
      <c r="Z82" s="103"/>
      <c r="AA82" s="104"/>
      <c r="AB82" s="98"/>
      <c r="AC82" s="89"/>
      <c r="AD82" s="98"/>
      <c r="AE82" s="89"/>
      <c r="AF82" s="98"/>
      <c r="AG82" s="89"/>
      <c r="AH82" s="98"/>
      <c r="AI82" s="89"/>
      <c r="AJ82" s="98"/>
      <c r="AK82" s="89"/>
      <c r="AL82" s="78"/>
      <c r="AM82" s="79"/>
      <c r="AN82" s="103"/>
      <c r="AO82" s="104"/>
      <c r="AP82" s="98"/>
      <c r="AQ82" s="89"/>
      <c r="AR82" s="98"/>
      <c r="AS82" s="89"/>
      <c r="AT82" s="98"/>
      <c r="AU82" s="89"/>
      <c r="AV82" s="78"/>
      <c r="AW82" s="79"/>
      <c r="AX82" s="78"/>
      <c r="AY82" s="79"/>
      <c r="AZ82" s="78"/>
      <c r="BA82" s="79"/>
      <c r="BB82" s="103"/>
      <c r="BC82" s="104"/>
      <c r="BD82" s="98"/>
      <c r="BE82" s="89"/>
      <c r="BF82" s="98"/>
      <c r="BG82" s="89"/>
      <c r="BH82" s="98"/>
      <c r="BI82" s="89"/>
      <c r="BJ82" s="98"/>
      <c r="BK82" s="89"/>
      <c r="BL82" s="98"/>
      <c r="BM82" s="89"/>
      <c r="BN82" s="93"/>
      <c r="BO82" s="93"/>
      <c r="BP82" s="82"/>
    </row>
    <row r="83" spans="1:68" ht="7.5" customHeight="1" x14ac:dyDescent="0.45">
      <c r="A83" s="84"/>
      <c r="B83" s="84"/>
      <c r="C83" s="84"/>
      <c r="D83" s="111"/>
      <c r="E83" s="84"/>
      <c r="F83" s="83"/>
      <c r="G83" s="83"/>
      <c r="H83" s="99"/>
      <c r="I83" s="100"/>
      <c r="J83" s="99"/>
      <c r="K83" s="100"/>
      <c r="L83" s="105"/>
      <c r="M83" s="106"/>
      <c r="N83" s="99"/>
      <c r="O83" s="100"/>
      <c r="P83" s="105"/>
      <c r="Q83" s="106"/>
      <c r="R83" s="99"/>
      <c r="S83" s="100"/>
      <c r="T83" s="99"/>
      <c r="U83" s="100"/>
      <c r="V83" s="99"/>
      <c r="W83" s="100"/>
      <c r="X83" s="99"/>
      <c r="Y83" s="100"/>
      <c r="Z83" s="105"/>
      <c r="AA83" s="106"/>
      <c r="AB83" s="99"/>
      <c r="AC83" s="100"/>
      <c r="AD83" s="99"/>
      <c r="AE83" s="100"/>
      <c r="AF83" s="99"/>
      <c r="AG83" s="100"/>
      <c r="AH83" s="99"/>
      <c r="AI83" s="100"/>
      <c r="AJ83" s="99"/>
      <c r="AK83" s="100"/>
      <c r="AL83" s="80"/>
      <c r="AM83" s="81"/>
      <c r="AN83" s="105"/>
      <c r="AO83" s="106"/>
      <c r="AP83" s="99"/>
      <c r="AQ83" s="100"/>
      <c r="AR83" s="99"/>
      <c r="AS83" s="100"/>
      <c r="AT83" s="99"/>
      <c r="AU83" s="100"/>
      <c r="AV83" s="80"/>
      <c r="AW83" s="81"/>
      <c r="AX83" s="80"/>
      <c r="AY83" s="81"/>
      <c r="AZ83" s="80"/>
      <c r="BA83" s="81"/>
      <c r="BB83" s="105"/>
      <c r="BC83" s="106"/>
      <c r="BD83" s="99"/>
      <c r="BE83" s="100"/>
      <c r="BF83" s="99"/>
      <c r="BG83" s="100"/>
      <c r="BH83" s="99"/>
      <c r="BI83" s="100"/>
      <c r="BJ83" s="99"/>
      <c r="BK83" s="100"/>
      <c r="BL83" s="99"/>
      <c r="BM83" s="100"/>
      <c r="BN83" s="93"/>
      <c r="BO83" s="93"/>
      <c r="BP83" s="82"/>
    </row>
  </sheetData>
  <mergeCells count="1066">
    <mergeCell ref="B1:B2"/>
    <mergeCell ref="C1:C2"/>
    <mergeCell ref="D1:D2"/>
    <mergeCell ref="E1:E2"/>
    <mergeCell ref="BP1:BP2"/>
    <mergeCell ref="F12:G14"/>
    <mergeCell ref="H12:I14"/>
    <mergeCell ref="J12:K14"/>
    <mergeCell ref="L12:M14"/>
    <mergeCell ref="N9:O11"/>
    <mergeCell ref="H18:I20"/>
    <mergeCell ref="J18:K20"/>
    <mergeCell ref="L18:M20"/>
    <mergeCell ref="N18:O20"/>
    <mergeCell ref="P12:Q14"/>
    <mergeCell ref="R12:S14"/>
    <mergeCell ref="T12:U14"/>
    <mergeCell ref="F15:G17"/>
    <mergeCell ref="H15:I17"/>
    <mergeCell ref="J15:K17"/>
    <mergeCell ref="L15:M17"/>
    <mergeCell ref="N15:O17"/>
    <mergeCell ref="P15:Q17"/>
    <mergeCell ref="R15:S17"/>
    <mergeCell ref="T15:U17"/>
    <mergeCell ref="N12:O14"/>
    <mergeCell ref="P3:Q5"/>
    <mergeCell ref="F3:G5"/>
    <mergeCell ref="H3:I5"/>
    <mergeCell ref="J3:K5"/>
    <mergeCell ref="L3:M5"/>
    <mergeCell ref="N3:O5"/>
    <mergeCell ref="F6:G8"/>
    <mergeCell ref="H6:I8"/>
    <mergeCell ref="J6:K8"/>
    <mergeCell ref="L6:M8"/>
    <mergeCell ref="N6:O8"/>
    <mergeCell ref="P6:Q8"/>
    <mergeCell ref="R3:S5"/>
    <mergeCell ref="T3:U5"/>
    <mergeCell ref="R6:S8"/>
    <mergeCell ref="T6:U8"/>
    <mergeCell ref="T9:U11"/>
    <mergeCell ref="R9:S11"/>
    <mergeCell ref="P9:Q11"/>
    <mergeCell ref="L9:M11"/>
    <mergeCell ref="J9:K11"/>
    <mergeCell ref="H9:I11"/>
    <mergeCell ref="F9:G11"/>
    <mergeCell ref="E21:E23"/>
    <mergeCell ref="E24:E26"/>
    <mergeCell ref="E27:E29"/>
    <mergeCell ref="D21:D23"/>
    <mergeCell ref="C21:C23"/>
    <mergeCell ref="E6:E8"/>
    <mergeCell ref="E9:E11"/>
    <mergeCell ref="E12:E14"/>
    <mergeCell ref="E15:E17"/>
    <mergeCell ref="E18:E20"/>
    <mergeCell ref="N2:O2"/>
    <mergeCell ref="P2:Q2"/>
    <mergeCell ref="R2:S2"/>
    <mergeCell ref="T2:U2"/>
    <mergeCell ref="E3:E5"/>
    <mergeCell ref="F1:G1"/>
    <mergeCell ref="F2:G2"/>
    <mergeCell ref="H2:I2"/>
    <mergeCell ref="J2:K2"/>
    <mergeCell ref="L2:M2"/>
    <mergeCell ref="P18:Q20"/>
    <mergeCell ref="R18:S20"/>
    <mergeCell ref="T18:U20"/>
    <mergeCell ref="F21:G23"/>
    <mergeCell ref="H21:I23"/>
    <mergeCell ref="J21:K23"/>
    <mergeCell ref="L21:M23"/>
    <mergeCell ref="N21:O23"/>
    <mergeCell ref="P21:Q23"/>
    <mergeCell ref="R21:S23"/>
    <mergeCell ref="T21:U23"/>
    <mergeCell ref="F18:G20"/>
    <mergeCell ref="N24:O26"/>
    <mergeCell ref="P24:Q26"/>
    <mergeCell ref="R24:S26"/>
    <mergeCell ref="T24:U26"/>
    <mergeCell ref="T27:U29"/>
    <mergeCell ref="R27:S29"/>
    <mergeCell ref="P27:Q29"/>
    <mergeCell ref="N27:O29"/>
    <mergeCell ref="F27:G29"/>
    <mergeCell ref="H27:I29"/>
    <mergeCell ref="H24:I26"/>
    <mergeCell ref="J24:K26"/>
    <mergeCell ref="L24:M26"/>
    <mergeCell ref="L27:M29"/>
    <mergeCell ref="J27:K29"/>
    <mergeCell ref="F24:G26"/>
    <mergeCell ref="R30:S32"/>
    <mergeCell ref="T30:U32"/>
    <mergeCell ref="L30:M32"/>
    <mergeCell ref="N30:O32"/>
    <mergeCell ref="P30:Q32"/>
    <mergeCell ref="T60:U62"/>
    <mergeCell ref="R51:S53"/>
    <mergeCell ref="T51:U53"/>
    <mergeCell ref="N48:O50"/>
    <mergeCell ref="P48:Q50"/>
    <mergeCell ref="J63:K65"/>
    <mergeCell ref="L63:M65"/>
    <mergeCell ref="N63:O65"/>
    <mergeCell ref="P63:Q65"/>
    <mergeCell ref="R69:S71"/>
    <mergeCell ref="T69:U71"/>
    <mergeCell ref="F66:G68"/>
    <mergeCell ref="N66:O68"/>
    <mergeCell ref="P66:Q68"/>
    <mergeCell ref="R66:S68"/>
    <mergeCell ref="E30:E32"/>
    <mergeCell ref="E33:E35"/>
    <mergeCell ref="E36:E38"/>
    <mergeCell ref="E39:E41"/>
    <mergeCell ref="E42:E44"/>
    <mergeCell ref="H36:I38"/>
    <mergeCell ref="J36:K38"/>
    <mergeCell ref="L36:M38"/>
    <mergeCell ref="N36:O38"/>
    <mergeCell ref="P36:Q38"/>
    <mergeCell ref="R36:S38"/>
    <mergeCell ref="J69:K71"/>
    <mergeCell ref="L69:M71"/>
    <mergeCell ref="N69:O71"/>
    <mergeCell ref="P69:Q71"/>
    <mergeCell ref="E60:E62"/>
    <mergeCell ref="H66:I68"/>
    <mergeCell ref="J66:K68"/>
    <mergeCell ref="L66:M68"/>
    <mergeCell ref="E63:E65"/>
    <mergeCell ref="E66:E68"/>
    <mergeCell ref="E69:E71"/>
    <mergeCell ref="F69:G71"/>
    <mergeCell ref="F63:G65"/>
    <mergeCell ref="E45:E47"/>
    <mergeCell ref="E48:E50"/>
    <mergeCell ref="E51:E53"/>
    <mergeCell ref="E54:E56"/>
    <mergeCell ref="E57:E59"/>
    <mergeCell ref="F30:G32"/>
    <mergeCell ref="F48:G50"/>
    <mergeCell ref="F54:G56"/>
    <mergeCell ref="F33:G35"/>
    <mergeCell ref="F39:G41"/>
    <mergeCell ref="F45:G47"/>
    <mergeCell ref="F60:G62"/>
    <mergeCell ref="H60:I62"/>
    <mergeCell ref="J60:K62"/>
    <mergeCell ref="L60:M62"/>
    <mergeCell ref="N60:O62"/>
    <mergeCell ref="P60:Q62"/>
    <mergeCell ref="H63:I65"/>
    <mergeCell ref="L51:M53"/>
    <mergeCell ref="N51:O53"/>
    <mergeCell ref="P51:Q53"/>
    <mergeCell ref="H48:I50"/>
    <mergeCell ref="J48:K50"/>
    <mergeCell ref="L48:M50"/>
    <mergeCell ref="B27:B29"/>
    <mergeCell ref="C27:C29"/>
    <mergeCell ref="D27:D29"/>
    <mergeCell ref="D30:D32"/>
    <mergeCell ref="C30:C32"/>
    <mergeCell ref="B30:B32"/>
    <mergeCell ref="B15:B17"/>
    <mergeCell ref="C15:C17"/>
    <mergeCell ref="D15:D17"/>
    <mergeCell ref="D24:D26"/>
    <mergeCell ref="C24:C26"/>
    <mergeCell ref="B24:B26"/>
    <mergeCell ref="B45:B47"/>
    <mergeCell ref="C45:C47"/>
    <mergeCell ref="D45:D47"/>
    <mergeCell ref="D48:D50"/>
    <mergeCell ref="C48:C50"/>
    <mergeCell ref="B48:B50"/>
    <mergeCell ref="B39:B41"/>
    <mergeCell ref="C39:C41"/>
    <mergeCell ref="D39:D41"/>
    <mergeCell ref="D42:D44"/>
    <mergeCell ref="C42:C44"/>
    <mergeCell ref="A6:A8"/>
    <mergeCell ref="B6:B8"/>
    <mergeCell ref="D6:D8"/>
    <mergeCell ref="D3:D5"/>
    <mergeCell ref="B3:B5"/>
    <mergeCell ref="A3:A5"/>
    <mergeCell ref="B12:B14"/>
    <mergeCell ref="A12:A14"/>
    <mergeCell ref="D12:D14"/>
    <mergeCell ref="D9:D11"/>
    <mergeCell ref="B9:B11"/>
    <mergeCell ref="A9:A11"/>
    <mergeCell ref="B21:B23"/>
    <mergeCell ref="B18:B20"/>
    <mergeCell ref="C18:C20"/>
    <mergeCell ref="D18:D20"/>
    <mergeCell ref="C3:C5"/>
    <mergeCell ref="C6:C8"/>
    <mergeCell ref="C9:C11"/>
    <mergeCell ref="C12:C14"/>
    <mergeCell ref="B42:B44"/>
    <mergeCell ref="B33:B35"/>
    <mergeCell ref="C33:C35"/>
    <mergeCell ref="D33:D35"/>
    <mergeCell ref="D36:D38"/>
    <mergeCell ref="C36:C38"/>
    <mergeCell ref="B36:B38"/>
    <mergeCell ref="B63:B65"/>
    <mergeCell ref="C63:C65"/>
    <mergeCell ref="D63:D65"/>
    <mergeCell ref="D66:D68"/>
    <mergeCell ref="C66:C68"/>
    <mergeCell ref="B66:B68"/>
    <mergeCell ref="B57:B59"/>
    <mergeCell ref="C57:C59"/>
    <mergeCell ref="D57:D59"/>
    <mergeCell ref="D60:D62"/>
    <mergeCell ref="C60:C62"/>
    <mergeCell ref="B60:B62"/>
    <mergeCell ref="B51:B53"/>
    <mergeCell ref="C51:C53"/>
    <mergeCell ref="D51:D53"/>
    <mergeCell ref="D54:D56"/>
    <mergeCell ref="C54:C56"/>
    <mergeCell ref="B54:B56"/>
    <mergeCell ref="B81:B83"/>
    <mergeCell ref="C81:C83"/>
    <mergeCell ref="D81:D83"/>
    <mergeCell ref="F81:G83"/>
    <mergeCell ref="H81:I83"/>
    <mergeCell ref="B75:B77"/>
    <mergeCell ref="C75:C77"/>
    <mergeCell ref="D75:D77"/>
    <mergeCell ref="D78:D80"/>
    <mergeCell ref="C78:C80"/>
    <mergeCell ref="B78:B80"/>
    <mergeCell ref="B69:B71"/>
    <mergeCell ref="C69:C71"/>
    <mergeCell ref="D69:D71"/>
    <mergeCell ref="D72:D74"/>
    <mergeCell ref="C72:C74"/>
    <mergeCell ref="B72:B74"/>
    <mergeCell ref="E72:E74"/>
    <mergeCell ref="E75:E77"/>
    <mergeCell ref="E78:E80"/>
    <mergeCell ref="E81:E83"/>
    <mergeCell ref="H69:I71"/>
    <mergeCell ref="T81:U83"/>
    <mergeCell ref="F72:G74"/>
    <mergeCell ref="H72:I74"/>
    <mergeCell ref="J72:K74"/>
    <mergeCell ref="L72:M74"/>
    <mergeCell ref="N72:O74"/>
    <mergeCell ref="P72:Q74"/>
    <mergeCell ref="R72:S74"/>
    <mergeCell ref="T72:U74"/>
    <mergeCell ref="F75:G77"/>
    <mergeCell ref="H75:I77"/>
    <mergeCell ref="J75:K77"/>
    <mergeCell ref="L75:M77"/>
    <mergeCell ref="N75:O77"/>
    <mergeCell ref="P75:Q77"/>
    <mergeCell ref="R75:S77"/>
    <mergeCell ref="J81:K83"/>
    <mergeCell ref="L81:M83"/>
    <mergeCell ref="N81:O83"/>
    <mergeCell ref="P81:Q83"/>
    <mergeCell ref="R81:S83"/>
    <mergeCell ref="T75:U77"/>
    <mergeCell ref="F78:G80"/>
    <mergeCell ref="H78:I80"/>
    <mergeCell ref="J78:K80"/>
    <mergeCell ref="L78:M80"/>
    <mergeCell ref="N78:O80"/>
    <mergeCell ref="P78:Q80"/>
    <mergeCell ref="R78:S80"/>
    <mergeCell ref="T78:U80"/>
    <mergeCell ref="T36:U38"/>
    <mergeCell ref="H33:I35"/>
    <mergeCell ref="J33:K35"/>
    <mergeCell ref="L33:M35"/>
    <mergeCell ref="N33:O35"/>
    <mergeCell ref="P33:Q35"/>
    <mergeCell ref="R54:S56"/>
    <mergeCell ref="T54:U56"/>
    <mergeCell ref="R45:S47"/>
    <mergeCell ref="T45:U47"/>
    <mergeCell ref="T66:U68"/>
    <mergeCell ref="F57:G59"/>
    <mergeCell ref="H57:I59"/>
    <mergeCell ref="J57:K59"/>
    <mergeCell ref="L57:M59"/>
    <mergeCell ref="N57:O59"/>
    <mergeCell ref="P57:Q59"/>
    <mergeCell ref="R57:S59"/>
    <mergeCell ref="T57:U59"/>
    <mergeCell ref="H54:I56"/>
    <mergeCell ref="J54:K56"/>
    <mergeCell ref="L54:M56"/>
    <mergeCell ref="N54:O56"/>
    <mergeCell ref="P54:Q56"/>
    <mergeCell ref="R48:S50"/>
    <mergeCell ref="T48:U50"/>
    <mergeCell ref="F51:G53"/>
    <mergeCell ref="H51:I53"/>
    <mergeCell ref="J51:K53"/>
    <mergeCell ref="R63:S65"/>
    <mergeCell ref="T63:U65"/>
    <mergeCell ref="R60:S62"/>
    <mergeCell ref="H1:I1"/>
    <mergeCell ref="J1:K1"/>
    <mergeCell ref="L1:M1"/>
    <mergeCell ref="N1:O1"/>
    <mergeCell ref="P1:Q1"/>
    <mergeCell ref="R1:S1"/>
    <mergeCell ref="T1:U1"/>
    <mergeCell ref="H45:I47"/>
    <mergeCell ref="J45:K47"/>
    <mergeCell ref="L45:M47"/>
    <mergeCell ref="N45:O47"/>
    <mergeCell ref="P45:Q47"/>
    <mergeCell ref="R39:S41"/>
    <mergeCell ref="T39:U41"/>
    <mergeCell ref="F42:G44"/>
    <mergeCell ref="H42:I44"/>
    <mergeCell ref="J42:K44"/>
    <mergeCell ref="L42:M44"/>
    <mergeCell ref="N42:O44"/>
    <mergeCell ref="P42:Q44"/>
    <mergeCell ref="R42:S44"/>
    <mergeCell ref="T42:U44"/>
    <mergeCell ref="H39:I41"/>
    <mergeCell ref="J39:K41"/>
    <mergeCell ref="L39:M41"/>
    <mergeCell ref="N39:O41"/>
    <mergeCell ref="P39:Q41"/>
    <mergeCell ref="R33:S35"/>
    <mergeCell ref="T33:U35"/>
    <mergeCell ref="F36:G38"/>
    <mergeCell ref="H30:I32"/>
    <mergeCell ref="J30:K32"/>
    <mergeCell ref="AF1:AG1"/>
    <mergeCell ref="AH1:AI1"/>
    <mergeCell ref="V6:W8"/>
    <mergeCell ref="X6:Y8"/>
    <mergeCell ref="Z6:AA8"/>
    <mergeCell ref="AB6:AC8"/>
    <mergeCell ref="AD6:AE8"/>
    <mergeCell ref="AF6:AG8"/>
    <mergeCell ref="AH6:AI8"/>
    <mergeCell ref="V2:W2"/>
    <mergeCell ref="X2:Y2"/>
    <mergeCell ref="Z2:AA2"/>
    <mergeCell ref="AB2:AC2"/>
    <mergeCell ref="AD2:AE2"/>
    <mergeCell ref="AF2:AG2"/>
    <mergeCell ref="AH2:AI2"/>
    <mergeCell ref="V1:W1"/>
    <mergeCell ref="X1:Y1"/>
    <mergeCell ref="Z1:AA1"/>
    <mergeCell ref="AB1:AC1"/>
    <mergeCell ref="AD1:AE1"/>
    <mergeCell ref="AD3:AE5"/>
    <mergeCell ref="AF3:AG5"/>
    <mergeCell ref="AH3:AI5"/>
    <mergeCell ref="V3:W5"/>
    <mergeCell ref="X3:Y5"/>
    <mergeCell ref="Z3:AA5"/>
    <mergeCell ref="AB3:AC5"/>
    <mergeCell ref="BN2:BO2"/>
    <mergeCell ref="AJ6:AK8"/>
    <mergeCell ref="AL6:AM8"/>
    <mergeCell ref="AN6:AO8"/>
    <mergeCell ref="AP6:AQ8"/>
    <mergeCell ref="AR6:AS8"/>
    <mergeCell ref="AT6:AU8"/>
    <mergeCell ref="AV6:AW8"/>
    <mergeCell ref="AX6:AY8"/>
    <mergeCell ref="AZ6:BA8"/>
    <mergeCell ref="BB6:BC8"/>
    <mergeCell ref="BD6:BE8"/>
    <mergeCell ref="BF6:BG8"/>
    <mergeCell ref="BH6:BI8"/>
    <mergeCell ref="BJ6:BK8"/>
    <mergeCell ref="BL6:BM8"/>
    <mergeCell ref="BD2:BE2"/>
    <mergeCell ref="BF2:BG2"/>
    <mergeCell ref="BH2:BI2"/>
    <mergeCell ref="BJ2:BK2"/>
    <mergeCell ref="BL2:BM2"/>
    <mergeCell ref="AT2:AU2"/>
    <mergeCell ref="AV2:AW2"/>
    <mergeCell ref="AX2:AY2"/>
    <mergeCell ref="AZ2:BA2"/>
    <mergeCell ref="BB2:BC2"/>
    <mergeCell ref="AJ2:AK2"/>
    <mergeCell ref="AL2:AM2"/>
    <mergeCell ref="AN2:AO2"/>
    <mergeCell ref="AP2:AQ2"/>
    <mergeCell ref="AR2:AS2"/>
    <mergeCell ref="AJ3:AK5"/>
    <mergeCell ref="BN6:BO8"/>
    <mergeCell ref="AL3:AM5"/>
    <mergeCell ref="AN3:AO5"/>
    <mergeCell ref="AP3:AQ5"/>
    <mergeCell ref="AR3:AS5"/>
    <mergeCell ref="AT3:AU5"/>
    <mergeCell ref="AV3:AW5"/>
    <mergeCell ref="AX3:AY5"/>
    <mergeCell ref="AZ3:BA5"/>
    <mergeCell ref="BB3:BC5"/>
    <mergeCell ref="BD3:BE5"/>
    <mergeCell ref="BF3:BG5"/>
    <mergeCell ref="BH3:BI5"/>
    <mergeCell ref="BJ3:BK5"/>
    <mergeCell ref="BL3:BM5"/>
    <mergeCell ref="BN3:BO5"/>
    <mergeCell ref="AF15:AG17"/>
    <mergeCell ref="AH15:AI17"/>
    <mergeCell ref="AJ15:AK17"/>
    <mergeCell ref="AL15:AM17"/>
    <mergeCell ref="AN15:AO17"/>
    <mergeCell ref="AF12:AG14"/>
    <mergeCell ref="AH12:AI14"/>
    <mergeCell ref="AJ12:AK14"/>
    <mergeCell ref="AL12:AM14"/>
    <mergeCell ref="AN12:AO14"/>
    <mergeCell ref="AF9:AG11"/>
    <mergeCell ref="AH9:AI11"/>
    <mergeCell ref="AJ9:AK11"/>
    <mergeCell ref="AL9:AM11"/>
    <mergeCell ref="AN9:AO11"/>
    <mergeCell ref="AP12:AQ14"/>
    <mergeCell ref="X27:Y29"/>
    <mergeCell ref="Z27:AA29"/>
    <mergeCell ref="AB27:AC29"/>
    <mergeCell ref="AD27:AE29"/>
    <mergeCell ref="AD18:AE20"/>
    <mergeCell ref="X21:Y23"/>
    <mergeCell ref="Z21:AA23"/>
    <mergeCell ref="AB21:AC23"/>
    <mergeCell ref="AD21:AE23"/>
    <mergeCell ref="V24:W26"/>
    <mergeCell ref="X9:Y11"/>
    <mergeCell ref="Z9:AA11"/>
    <mergeCell ref="AB9:AC11"/>
    <mergeCell ref="AD9:AE11"/>
    <mergeCell ref="X12:Y14"/>
    <mergeCell ref="Z12:AA14"/>
    <mergeCell ref="AB12:AC14"/>
    <mergeCell ref="AD12:AE14"/>
    <mergeCell ref="X15:Y17"/>
    <mergeCell ref="Z15:AA17"/>
    <mergeCell ref="AB15:AC17"/>
    <mergeCell ref="AD15:AE17"/>
    <mergeCell ref="X18:Y20"/>
    <mergeCell ref="Z18:AA20"/>
    <mergeCell ref="AB18:AC20"/>
    <mergeCell ref="V9:W11"/>
    <mergeCell ref="V12:W14"/>
    <mergeCell ref="V15:W17"/>
    <mergeCell ref="V18:W20"/>
    <mergeCell ref="V21:W23"/>
    <mergeCell ref="AL24:AM26"/>
    <mergeCell ref="AN24:AO26"/>
    <mergeCell ref="AF21:AG23"/>
    <mergeCell ref="AH21:AI23"/>
    <mergeCell ref="AJ21:AK23"/>
    <mergeCell ref="AL21:AM23"/>
    <mergeCell ref="AN21:AO23"/>
    <mergeCell ref="AF18:AG20"/>
    <mergeCell ref="AH18:AI20"/>
    <mergeCell ref="AJ18:AK20"/>
    <mergeCell ref="AL18:AM20"/>
    <mergeCell ref="AN18:AO20"/>
    <mergeCell ref="V36:W38"/>
    <mergeCell ref="X36:Y38"/>
    <mergeCell ref="Z36:AA38"/>
    <mergeCell ref="AB36:AC38"/>
    <mergeCell ref="AD36:AE38"/>
    <mergeCell ref="V33:W35"/>
    <mergeCell ref="X33:Y35"/>
    <mergeCell ref="Z33:AA35"/>
    <mergeCell ref="AB33:AC35"/>
    <mergeCell ref="AD33:AE35"/>
    <mergeCell ref="V30:W32"/>
    <mergeCell ref="X30:Y32"/>
    <mergeCell ref="Z30:AA32"/>
    <mergeCell ref="AB30:AC32"/>
    <mergeCell ref="AD30:AE32"/>
    <mergeCell ref="X24:Y26"/>
    <mergeCell ref="Z24:AA26"/>
    <mergeCell ref="AB24:AC26"/>
    <mergeCell ref="AD24:AE26"/>
    <mergeCell ref="V27:W29"/>
    <mergeCell ref="AR12:AS14"/>
    <mergeCell ref="AT12:AU14"/>
    <mergeCell ref="AV12:AW14"/>
    <mergeCell ref="AX12:AY14"/>
    <mergeCell ref="AZ12:BA14"/>
    <mergeCell ref="BB12:BC14"/>
    <mergeCell ref="BD12:BE14"/>
    <mergeCell ref="BF12:BG14"/>
    <mergeCell ref="AP9:AQ11"/>
    <mergeCell ref="AR9:AS11"/>
    <mergeCell ref="AT9:AU11"/>
    <mergeCell ref="AV9:AW11"/>
    <mergeCell ref="AX9:AY11"/>
    <mergeCell ref="AF33:AG35"/>
    <mergeCell ref="AH33:AI35"/>
    <mergeCell ref="AJ33:AK35"/>
    <mergeCell ref="AL33:AM35"/>
    <mergeCell ref="AN33:AO35"/>
    <mergeCell ref="AF30:AG32"/>
    <mergeCell ref="AH30:AI32"/>
    <mergeCell ref="AJ30:AK32"/>
    <mergeCell ref="AL30:AM32"/>
    <mergeCell ref="AN30:AO32"/>
    <mergeCell ref="AF27:AG29"/>
    <mergeCell ref="AH27:AI29"/>
    <mergeCell ref="AJ27:AK29"/>
    <mergeCell ref="AP24:AQ26"/>
    <mergeCell ref="AL27:AM29"/>
    <mergeCell ref="AN27:AO29"/>
    <mergeCell ref="AF24:AG26"/>
    <mergeCell ref="AH24:AI26"/>
    <mergeCell ref="AJ24:AK26"/>
    <mergeCell ref="AR24:AS26"/>
    <mergeCell ref="AT24:AU26"/>
    <mergeCell ref="AV24:AW26"/>
    <mergeCell ref="AX24:AY26"/>
    <mergeCell ref="AZ24:BA26"/>
    <mergeCell ref="BB24:BC26"/>
    <mergeCell ref="BD24:BE26"/>
    <mergeCell ref="BF24:BG26"/>
    <mergeCell ref="AP21:AQ23"/>
    <mergeCell ref="AR21:AS23"/>
    <mergeCell ref="AT21:AU23"/>
    <mergeCell ref="AV21:AW23"/>
    <mergeCell ref="AX21:AY23"/>
    <mergeCell ref="AZ15:BA17"/>
    <mergeCell ref="BB15:BC17"/>
    <mergeCell ref="BD15:BE17"/>
    <mergeCell ref="BF15:BG17"/>
    <mergeCell ref="AP18:AQ20"/>
    <mergeCell ref="AR18:AS20"/>
    <mergeCell ref="AT18:AU20"/>
    <mergeCell ref="AV18:AW20"/>
    <mergeCell ref="AX18:AY20"/>
    <mergeCell ref="AZ18:BA20"/>
    <mergeCell ref="BB18:BC20"/>
    <mergeCell ref="BD18:BE20"/>
    <mergeCell ref="BF18:BG20"/>
    <mergeCell ref="AP15:AQ17"/>
    <mergeCell ref="AR15:AS17"/>
    <mergeCell ref="AT15:AU17"/>
    <mergeCell ref="AV15:AW17"/>
    <mergeCell ref="AX15:AY17"/>
    <mergeCell ref="AP36:AQ38"/>
    <mergeCell ref="AR36:AS38"/>
    <mergeCell ref="AT36:AU38"/>
    <mergeCell ref="AV36:AW38"/>
    <mergeCell ref="AX36:AY38"/>
    <mergeCell ref="AZ36:BA38"/>
    <mergeCell ref="BB36:BC38"/>
    <mergeCell ref="BD36:BE38"/>
    <mergeCell ref="BF36:BG38"/>
    <mergeCell ref="AP33:AQ35"/>
    <mergeCell ref="AR33:AS35"/>
    <mergeCell ref="AT33:AU35"/>
    <mergeCell ref="AV33:AW35"/>
    <mergeCell ref="AX33:AY35"/>
    <mergeCell ref="AZ27:BA29"/>
    <mergeCell ref="BB27:BC29"/>
    <mergeCell ref="BD27:BE29"/>
    <mergeCell ref="BF27:BG29"/>
    <mergeCell ref="AP30:AQ32"/>
    <mergeCell ref="AR30:AS32"/>
    <mergeCell ref="AT30:AU32"/>
    <mergeCell ref="AV30:AW32"/>
    <mergeCell ref="AX30:AY32"/>
    <mergeCell ref="AZ30:BA32"/>
    <mergeCell ref="BB30:BC32"/>
    <mergeCell ref="BD30:BE32"/>
    <mergeCell ref="BF30:BG32"/>
    <mergeCell ref="AP27:AQ29"/>
    <mergeCell ref="AR27:AS29"/>
    <mergeCell ref="AT27:AU29"/>
    <mergeCell ref="AV27:AW29"/>
    <mergeCell ref="AX27:AY29"/>
    <mergeCell ref="BH15:BI17"/>
    <mergeCell ref="BJ15:BK17"/>
    <mergeCell ref="BL15:BM17"/>
    <mergeCell ref="BN15:BO17"/>
    <mergeCell ref="BH18:BI20"/>
    <mergeCell ref="BJ18:BK20"/>
    <mergeCell ref="BL18:BM20"/>
    <mergeCell ref="BN18:BO20"/>
    <mergeCell ref="BH9:BI11"/>
    <mergeCell ref="BJ9:BK11"/>
    <mergeCell ref="BL9:BM11"/>
    <mergeCell ref="BN9:BO11"/>
    <mergeCell ref="BH12:BI14"/>
    <mergeCell ref="BJ12:BK14"/>
    <mergeCell ref="BL12:BM14"/>
    <mergeCell ref="BN12:BO14"/>
    <mergeCell ref="AZ33:BA35"/>
    <mergeCell ref="BB33:BC35"/>
    <mergeCell ref="BD33:BE35"/>
    <mergeCell ref="BF33:BG35"/>
    <mergeCell ref="AZ21:BA23"/>
    <mergeCell ref="BB21:BC23"/>
    <mergeCell ref="BD21:BE23"/>
    <mergeCell ref="BF21:BG23"/>
    <mergeCell ref="AZ9:BA11"/>
    <mergeCell ref="BB9:BC11"/>
    <mergeCell ref="BD9:BE11"/>
    <mergeCell ref="BF9:BG11"/>
    <mergeCell ref="BH33:BI35"/>
    <mergeCell ref="BJ33:BK35"/>
    <mergeCell ref="BL33:BM35"/>
    <mergeCell ref="BN33:BO35"/>
    <mergeCell ref="BH36:BI38"/>
    <mergeCell ref="BJ36:BK38"/>
    <mergeCell ref="BL36:BM38"/>
    <mergeCell ref="BN36:BO38"/>
    <mergeCell ref="BH27:BI29"/>
    <mergeCell ref="BJ27:BK29"/>
    <mergeCell ref="BL27:BM29"/>
    <mergeCell ref="BN27:BO29"/>
    <mergeCell ref="BH30:BI32"/>
    <mergeCell ref="BJ30:BK32"/>
    <mergeCell ref="BL30:BM32"/>
    <mergeCell ref="BN30:BO32"/>
    <mergeCell ref="BH21:BI23"/>
    <mergeCell ref="BJ21:BK23"/>
    <mergeCell ref="BL21:BM23"/>
    <mergeCell ref="BN21:BO23"/>
    <mergeCell ref="BH24:BI26"/>
    <mergeCell ref="BJ24:BK26"/>
    <mergeCell ref="BL24:BM26"/>
    <mergeCell ref="BN24:BO26"/>
    <mergeCell ref="V42:W44"/>
    <mergeCell ref="X42:Y44"/>
    <mergeCell ref="Z42:AA44"/>
    <mergeCell ref="AB42:AC44"/>
    <mergeCell ref="AD42:AE44"/>
    <mergeCell ref="AF42:AG44"/>
    <mergeCell ref="AH42:AI44"/>
    <mergeCell ref="AJ42:AK44"/>
    <mergeCell ref="AL42:AM44"/>
    <mergeCell ref="AN42:AO44"/>
    <mergeCell ref="AP42:AQ44"/>
    <mergeCell ref="AR42:AS44"/>
    <mergeCell ref="AT42:AU44"/>
    <mergeCell ref="AZ39:BA41"/>
    <mergeCell ref="BB39:BC41"/>
    <mergeCell ref="BD39:BE41"/>
    <mergeCell ref="BF39:BG41"/>
    <mergeCell ref="AP39:AQ41"/>
    <mergeCell ref="AR39:AS41"/>
    <mergeCell ref="AT39:AU41"/>
    <mergeCell ref="AV39:AW41"/>
    <mergeCell ref="AX39:AY41"/>
    <mergeCell ref="AF39:AG41"/>
    <mergeCell ref="AH39:AI41"/>
    <mergeCell ref="AJ39:AK41"/>
    <mergeCell ref="AL39:AM41"/>
    <mergeCell ref="AN39:AO41"/>
    <mergeCell ref="V39:W41"/>
    <mergeCell ref="X39:Y41"/>
    <mergeCell ref="Z39:AA41"/>
    <mergeCell ref="AB39:AC41"/>
    <mergeCell ref="AD39:AE41"/>
    <mergeCell ref="BF42:BG44"/>
    <mergeCell ref="BH42:BI44"/>
    <mergeCell ref="BJ42:BK44"/>
    <mergeCell ref="BL42:BM44"/>
    <mergeCell ref="BN42:BO44"/>
    <mergeCell ref="AV42:AW44"/>
    <mergeCell ref="AX42:AY44"/>
    <mergeCell ref="AZ42:BA44"/>
    <mergeCell ref="BB42:BC44"/>
    <mergeCell ref="BD42:BE44"/>
    <mergeCell ref="BJ39:BK41"/>
    <mergeCell ref="BL39:BM41"/>
    <mergeCell ref="BN39:BO41"/>
    <mergeCell ref="BH39:BI41"/>
    <mergeCell ref="BJ45:BK47"/>
    <mergeCell ref="BL45:BM47"/>
    <mergeCell ref="BN45:BO47"/>
    <mergeCell ref="BH45:BI47"/>
    <mergeCell ref="AZ45:BA47"/>
    <mergeCell ref="BB45:BC47"/>
    <mergeCell ref="BD45:BE47"/>
    <mergeCell ref="BF45:BG47"/>
    <mergeCell ref="AP45:AQ47"/>
    <mergeCell ref="AR45:AS47"/>
    <mergeCell ref="AT45:AU47"/>
    <mergeCell ref="AV45:AW47"/>
    <mergeCell ref="AX45:AY47"/>
    <mergeCell ref="AF45:AG47"/>
    <mergeCell ref="AH45:AI47"/>
    <mergeCell ref="AJ45:AK47"/>
    <mergeCell ref="AL45:AM47"/>
    <mergeCell ref="AN45:AO47"/>
    <mergeCell ref="V45:W47"/>
    <mergeCell ref="X45:Y47"/>
    <mergeCell ref="Z45:AA47"/>
    <mergeCell ref="AB45:AC47"/>
    <mergeCell ref="AD45:AE47"/>
    <mergeCell ref="BF48:BG50"/>
    <mergeCell ref="BH48:BI50"/>
    <mergeCell ref="BJ48:BK50"/>
    <mergeCell ref="BL48:BM50"/>
    <mergeCell ref="BN48:BO50"/>
    <mergeCell ref="AV48:AW50"/>
    <mergeCell ref="AX48:AY50"/>
    <mergeCell ref="AZ48:BA50"/>
    <mergeCell ref="BB48:BC50"/>
    <mergeCell ref="BD48:BE50"/>
    <mergeCell ref="V48:W50"/>
    <mergeCell ref="X48:Y50"/>
    <mergeCell ref="Z48:AA50"/>
    <mergeCell ref="AB48:AC50"/>
    <mergeCell ref="AD48:AE50"/>
    <mergeCell ref="AF48:AG50"/>
    <mergeCell ref="AH48:AI50"/>
    <mergeCell ref="AJ48:AK50"/>
    <mergeCell ref="AL48:AM50"/>
    <mergeCell ref="AN48:AO50"/>
    <mergeCell ref="AP48:AQ50"/>
    <mergeCell ref="AR48:AS50"/>
    <mergeCell ref="AT48:AU50"/>
    <mergeCell ref="V54:W56"/>
    <mergeCell ref="X54:Y56"/>
    <mergeCell ref="Z54:AA56"/>
    <mergeCell ref="AB54:AC56"/>
    <mergeCell ref="AD54:AE56"/>
    <mergeCell ref="AF54:AG56"/>
    <mergeCell ref="AH54:AI56"/>
    <mergeCell ref="AJ54:AK56"/>
    <mergeCell ref="AL54:AM56"/>
    <mergeCell ref="AN54:AO56"/>
    <mergeCell ref="AP54:AQ56"/>
    <mergeCell ref="AR54:AS56"/>
    <mergeCell ref="AT54:AU56"/>
    <mergeCell ref="AZ51:BA53"/>
    <mergeCell ref="BB51:BC53"/>
    <mergeCell ref="BD51:BE53"/>
    <mergeCell ref="BF51:BG53"/>
    <mergeCell ref="AP51:AQ53"/>
    <mergeCell ref="AR51:AS53"/>
    <mergeCell ref="AT51:AU53"/>
    <mergeCell ref="AV51:AW53"/>
    <mergeCell ref="AX51:AY53"/>
    <mergeCell ref="AF51:AG53"/>
    <mergeCell ref="AH51:AI53"/>
    <mergeCell ref="AJ51:AK53"/>
    <mergeCell ref="AL51:AM53"/>
    <mergeCell ref="AN51:AO53"/>
    <mergeCell ref="V51:W53"/>
    <mergeCell ref="X51:Y53"/>
    <mergeCell ref="Z51:AA53"/>
    <mergeCell ref="AB51:AC53"/>
    <mergeCell ref="AD51:AE53"/>
    <mergeCell ref="X57:Y59"/>
    <mergeCell ref="Z57:AA59"/>
    <mergeCell ref="AB57:AC59"/>
    <mergeCell ref="AD57:AE59"/>
    <mergeCell ref="BF54:BG56"/>
    <mergeCell ref="BH54:BI56"/>
    <mergeCell ref="BJ54:BK56"/>
    <mergeCell ref="BL54:BM56"/>
    <mergeCell ref="BN54:BO56"/>
    <mergeCell ref="AV54:AW56"/>
    <mergeCell ref="AX54:AY56"/>
    <mergeCell ref="AZ54:BA56"/>
    <mergeCell ref="BB54:BC56"/>
    <mergeCell ref="BD54:BE56"/>
    <mergeCell ref="BJ51:BK53"/>
    <mergeCell ref="BL51:BM53"/>
    <mergeCell ref="BN51:BO53"/>
    <mergeCell ref="BH51:BI53"/>
    <mergeCell ref="BJ57:BK59"/>
    <mergeCell ref="BL57:BM59"/>
    <mergeCell ref="BN57:BO59"/>
    <mergeCell ref="V60:W62"/>
    <mergeCell ref="X60:Y62"/>
    <mergeCell ref="Z60:AA62"/>
    <mergeCell ref="AB60:AC62"/>
    <mergeCell ref="AD60:AE62"/>
    <mergeCell ref="AF60:AG62"/>
    <mergeCell ref="AH60:AI62"/>
    <mergeCell ref="AJ60:AK62"/>
    <mergeCell ref="AL60:AM62"/>
    <mergeCell ref="AN60:AO62"/>
    <mergeCell ref="AP60:AQ62"/>
    <mergeCell ref="AR60:AS62"/>
    <mergeCell ref="AT60:AU62"/>
    <mergeCell ref="AZ57:BA59"/>
    <mergeCell ref="BB57:BC59"/>
    <mergeCell ref="BD57:BE59"/>
    <mergeCell ref="BF57:BG59"/>
    <mergeCell ref="BH57:BI59"/>
    <mergeCell ref="AP57:AQ59"/>
    <mergeCell ref="AR57:AS59"/>
    <mergeCell ref="AT57:AU59"/>
    <mergeCell ref="AV57:AW59"/>
    <mergeCell ref="AX57:AY59"/>
    <mergeCell ref="AF57:AG59"/>
    <mergeCell ref="AH57:AI59"/>
    <mergeCell ref="AJ57:AK59"/>
    <mergeCell ref="AL57:AM59"/>
    <mergeCell ref="AN57:AO59"/>
    <mergeCell ref="V57:W59"/>
    <mergeCell ref="AJ63:AK65"/>
    <mergeCell ref="AL63:AM65"/>
    <mergeCell ref="AN63:AO65"/>
    <mergeCell ref="V63:W65"/>
    <mergeCell ref="X63:Y65"/>
    <mergeCell ref="Z63:AA65"/>
    <mergeCell ref="AB63:AC65"/>
    <mergeCell ref="AD63:AE65"/>
    <mergeCell ref="BF60:BG62"/>
    <mergeCell ref="BH60:BI62"/>
    <mergeCell ref="BJ60:BK62"/>
    <mergeCell ref="BL60:BM62"/>
    <mergeCell ref="BN60:BO62"/>
    <mergeCell ref="AV60:AW62"/>
    <mergeCell ref="AX60:AY62"/>
    <mergeCell ref="AZ60:BA62"/>
    <mergeCell ref="BB60:BC62"/>
    <mergeCell ref="BD60:BE62"/>
    <mergeCell ref="Z69:AA71"/>
    <mergeCell ref="AB69:AC71"/>
    <mergeCell ref="AD69:AE71"/>
    <mergeCell ref="BF66:BG68"/>
    <mergeCell ref="BH66:BI68"/>
    <mergeCell ref="BJ66:BK68"/>
    <mergeCell ref="BL66:BM68"/>
    <mergeCell ref="BN66:BO68"/>
    <mergeCell ref="AV66:AW68"/>
    <mergeCell ref="AX66:AY68"/>
    <mergeCell ref="AZ66:BA68"/>
    <mergeCell ref="BB66:BC68"/>
    <mergeCell ref="BD66:BE68"/>
    <mergeCell ref="BJ63:BK65"/>
    <mergeCell ref="BL63:BM65"/>
    <mergeCell ref="BN63:BO65"/>
    <mergeCell ref="V66:W68"/>
    <mergeCell ref="X66:Y68"/>
    <mergeCell ref="Z66:AA68"/>
    <mergeCell ref="AB66:AC68"/>
    <mergeCell ref="AD66:AE68"/>
    <mergeCell ref="AF66:AG68"/>
    <mergeCell ref="AH66:AI68"/>
    <mergeCell ref="AJ66:AK68"/>
    <mergeCell ref="AL66:AM68"/>
    <mergeCell ref="AN66:AO68"/>
    <mergeCell ref="AP66:AQ68"/>
    <mergeCell ref="AR66:AS68"/>
    <mergeCell ref="AT66:AU68"/>
    <mergeCell ref="AZ63:BA65"/>
    <mergeCell ref="BB63:BC65"/>
    <mergeCell ref="BD63:BE65"/>
    <mergeCell ref="V75:W77"/>
    <mergeCell ref="X75:Y77"/>
    <mergeCell ref="BL72:BM74"/>
    <mergeCell ref="BN72:BO74"/>
    <mergeCell ref="AV72:AW74"/>
    <mergeCell ref="AX72:AY74"/>
    <mergeCell ref="AZ72:BA74"/>
    <mergeCell ref="BB72:BC74"/>
    <mergeCell ref="BD72:BE74"/>
    <mergeCell ref="BJ69:BK71"/>
    <mergeCell ref="BL69:BM71"/>
    <mergeCell ref="BN69:BO71"/>
    <mergeCell ref="V72:W74"/>
    <mergeCell ref="X72:Y74"/>
    <mergeCell ref="Z72:AA74"/>
    <mergeCell ref="AB72:AC74"/>
    <mergeCell ref="AD72:AE74"/>
    <mergeCell ref="AF72:AG74"/>
    <mergeCell ref="AH72:AI74"/>
    <mergeCell ref="AJ72:AK74"/>
    <mergeCell ref="AL72:AM74"/>
    <mergeCell ref="AN72:AO74"/>
    <mergeCell ref="AP72:AQ74"/>
    <mergeCell ref="AR72:AS74"/>
    <mergeCell ref="AT72:AU74"/>
    <mergeCell ref="AZ69:BA71"/>
    <mergeCell ref="BB69:BC71"/>
    <mergeCell ref="BD69:BE71"/>
    <mergeCell ref="BF69:BG71"/>
    <mergeCell ref="BH69:BI71"/>
    <mergeCell ref="AP69:AQ71"/>
    <mergeCell ref="AR69:AS71"/>
    <mergeCell ref="V81:W83"/>
    <mergeCell ref="X81:Y83"/>
    <mergeCell ref="Z81:AA83"/>
    <mergeCell ref="AB81:AC83"/>
    <mergeCell ref="AD81:AE83"/>
    <mergeCell ref="BF78:BG80"/>
    <mergeCell ref="BH78:BI80"/>
    <mergeCell ref="BJ78:BK80"/>
    <mergeCell ref="BL78:BM80"/>
    <mergeCell ref="BN78:BO80"/>
    <mergeCell ref="AV78:AW80"/>
    <mergeCell ref="AX78:AY80"/>
    <mergeCell ref="AZ78:BA80"/>
    <mergeCell ref="BB78:BC80"/>
    <mergeCell ref="BD78:BE80"/>
    <mergeCell ref="BL75:BM77"/>
    <mergeCell ref="BN75:BO77"/>
    <mergeCell ref="V78:W80"/>
    <mergeCell ref="X78:Y80"/>
    <mergeCell ref="Z78:AA80"/>
    <mergeCell ref="AB78:AC80"/>
    <mergeCell ref="AD78:AE80"/>
    <mergeCell ref="AF78:AG80"/>
    <mergeCell ref="AH78:AI80"/>
    <mergeCell ref="AJ78:AK80"/>
    <mergeCell ref="AL78:AM80"/>
    <mergeCell ref="AN78:AO80"/>
    <mergeCell ref="AP78:AQ80"/>
    <mergeCell ref="AR78:AS80"/>
    <mergeCell ref="AT78:AU80"/>
    <mergeCell ref="AZ75:BA77"/>
    <mergeCell ref="BB75:BC77"/>
    <mergeCell ref="BL1:BM1"/>
    <mergeCell ref="BN1:BO1"/>
    <mergeCell ref="A15:A17"/>
    <mergeCell ref="A18:A20"/>
    <mergeCell ref="BJ81:BK83"/>
    <mergeCell ref="BL81:BM83"/>
    <mergeCell ref="BN81:BO83"/>
    <mergeCell ref="AJ1:AK1"/>
    <mergeCell ref="AL1:AM1"/>
    <mergeCell ref="AN1:AO1"/>
    <mergeCell ref="AP1:AQ1"/>
    <mergeCell ref="AR1:AS1"/>
    <mergeCell ref="AT1:AU1"/>
    <mergeCell ref="AV1:AW1"/>
    <mergeCell ref="AX1:AY1"/>
    <mergeCell ref="AZ1:BA1"/>
    <mergeCell ref="BB1:BC1"/>
    <mergeCell ref="BD1:BE1"/>
    <mergeCell ref="BF1:BG1"/>
    <mergeCell ref="BH1:BI1"/>
    <mergeCell ref="AZ81:BA83"/>
    <mergeCell ref="BB81:BC83"/>
    <mergeCell ref="BD81:BE83"/>
    <mergeCell ref="BF81:BG83"/>
    <mergeCell ref="BH81:BI83"/>
    <mergeCell ref="AP81:AQ83"/>
    <mergeCell ref="AR81:AS83"/>
    <mergeCell ref="AT81:AU83"/>
    <mergeCell ref="AV81:AW83"/>
    <mergeCell ref="AX81:AY83"/>
    <mergeCell ref="AF81:AG83"/>
    <mergeCell ref="AH81:AI83"/>
    <mergeCell ref="A27:A29"/>
    <mergeCell ref="A30:A32"/>
    <mergeCell ref="A33:A35"/>
    <mergeCell ref="BJ1:BK1"/>
    <mergeCell ref="BJ75:BK77"/>
    <mergeCell ref="Z75:AA77"/>
    <mergeCell ref="AB75:AC77"/>
    <mergeCell ref="AD75:AE77"/>
    <mergeCell ref="BF72:BG74"/>
    <mergeCell ref="BH72:BI74"/>
    <mergeCell ref="BJ72:BK74"/>
    <mergeCell ref="AX69:AY71"/>
    <mergeCell ref="AF69:AG71"/>
    <mergeCell ref="AH69:AI71"/>
    <mergeCell ref="AJ69:AK71"/>
    <mergeCell ref="AL69:AM71"/>
    <mergeCell ref="AN69:AO71"/>
    <mergeCell ref="V69:W71"/>
    <mergeCell ref="X69:Y71"/>
    <mergeCell ref="BD75:BE77"/>
    <mergeCell ref="BF75:BG77"/>
    <mergeCell ref="BH75:BI77"/>
    <mergeCell ref="AP75:AQ77"/>
    <mergeCell ref="AR75:AS77"/>
    <mergeCell ref="AT75:AU77"/>
    <mergeCell ref="AV75:AW77"/>
    <mergeCell ref="AX75:AY77"/>
    <mergeCell ref="AF75:AG77"/>
    <mergeCell ref="AH75:AI77"/>
    <mergeCell ref="AJ75:AK77"/>
    <mergeCell ref="AL75:AM77"/>
    <mergeCell ref="AN75:AO77"/>
    <mergeCell ref="A81:A83"/>
    <mergeCell ref="BP3:BP5"/>
    <mergeCell ref="BP6:BP8"/>
    <mergeCell ref="BP9:BP11"/>
    <mergeCell ref="BP12:BP14"/>
    <mergeCell ref="BP15:BP17"/>
    <mergeCell ref="BP18:BP20"/>
    <mergeCell ref="BP21:BP23"/>
    <mergeCell ref="BP24:BP26"/>
    <mergeCell ref="BP27:BP29"/>
    <mergeCell ref="BP30:BP32"/>
    <mergeCell ref="BP33:BP35"/>
    <mergeCell ref="BP36:BP38"/>
    <mergeCell ref="BP39:BP41"/>
    <mergeCell ref="BP42:BP44"/>
    <mergeCell ref="A66:A68"/>
    <mergeCell ref="A69:A71"/>
    <mergeCell ref="A72:A74"/>
    <mergeCell ref="A75:A77"/>
    <mergeCell ref="A78:A80"/>
    <mergeCell ref="A51:A53"/>
    <mergeCell ref="A54:A56"/>
    <mergeCell ref="A57:A59"/>
    <mergeCell ref="A60:A62"/>
    <mergeCell ref="A63:A65"/>
    <mergeCell ref="A36:A38"/>
    <mergeCell ref="A39:A41"/>
    <mergeCell ref="A42:A44"/>
    <mergeCell ref="A45:A47"/>
    <mergeCell ref="A48:A50"/>
    <mergeCell ref="A21:A23"/>
    <mergeCell ref="A24:A26"/>
    <mergeCell ref="AN36:AO38"/>
    <mergeCell ref="AL36:AM38"/>
    <mergeCell ref="AJ36:AK38"/>
    <mergeCell ref="AH36:AI38"/>
    <mergeCell ref="AF36:AG38"/>
    <mergeCell ref="BP75:BP77"/>
    <mergeCell ref="BP78:BP80"/>
    <mergeCell ref="BP81:BP83"/>
    <mergeCell ref="BP60:BP62"/>
    <mergeCell ref="BP63:BP65"/>
    <mergeCell ref="BP66:BP68"/>
    <mergeCell ref="BP69:BP71"/>
    <mergeCell ref="BP72:BP74"/>
    <mergeCell ref="BP45:BP47"/>
    <mergeCell ref="BP48:BP50"/>
    <mergeCell ref="BP51:BP53"/>
    <mergeCell ref="BP54:BP56"/>
    <mergeCell ref="BP57:BP59"/>
    <mergeCell ref="AJ81:AK83"/>
    <mergeCell ref="AL81:AM83"/>
    <mergeCell ref="AN81:AO83"/>
    <mergeCell ref="AT69:AU71"/>
    <mergeCell ref="AV69:AW71"/>
    <mergeCell ref="BF63:BG65"/>
    <mergeCell ref="BH63:BI65"/>
    <mergeCell ref="AP63:AQ65"/>
    <mergeCell ref="AR63:AS65"/>
    <mergeCell ref="AT63:AU65"/>
    <mergeCell ref="AV63:AW65"/>
    <mergeCell ref="AX63:AY65"/>
    <mergeCell ref="AF63:AG65"/>
    <mergeCell ref="AH63:AI65"/>
  </mergeCells>
  <pageMargins left="0.08" right="0.18" top="0.73" bottom="0.18" header="0.19" footer="0.13"/>
  <pageSetup fitToWidth="0" fitToHeight="0" orientation="landscape" r:id="rId1"/>
  <headerFooter>
    <oddHeader>&amp;Cاداره ارتباطات و هدایت عملیات اورژانس استان همدان
مرکز مدیریت حوادث و اورژانس پیش بیمارستانی دانشگاه ابن سینا&amp;R
برنامه پرسنل واحد &amp;"Zar,Regular"700&amp;"-,Regular" فروردین ماه &amp;"Zar,Regular"1403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اسفند 402</vt:lpstr>
      <vt:lpstr>خروجی</vt:lpstr>
      <vt:lpstr>خروجی!Print_Area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yaAli</dc:creator>
  <cp:lastModifiedBy>hn hn</cp:lastModifiedBy>
  <cp:lastPrinted>2024-02-29T15:04:46Z</cp:lastPrinted>
  <dcterms:created xsi:type="dcterms:W3CDTF">2015-06-05T18:17:20Z</dcterms:created>
  <dcterms:modified xsi:type="dcterms:W3CDTF">2025-03-06T17:31:08Z</dcterms:modified>
</cp:coreProperties>
</file>